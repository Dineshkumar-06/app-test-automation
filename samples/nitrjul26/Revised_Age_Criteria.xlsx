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Online_Registration_Projects\2026-2027\NIT_RAIPUR\VENDOR\"/>
    </mc:Choice>
  </mc:AlternateContent>
  <bookViews>
    <workbookView xWindow="0" yWindow="0" windowWidth="28800" windowHeight="12330" tabRatio="795" activeTab="12"/>
  </bookViews>
  <sheets>
    <sheet name="ST_EWS_UR_30" sheetId="18" r:id="rId1"/>
    <sheet name="UR_30" sheetId="20" r:id="rId2"/>
    <sheet name="OBC_30" sheetId="25" r:id="rId3"/>
    <sheet name="SC_30" sheetId="30" r:id="rId4"/>
    <sheet name="ST_30" sheetId="35" r:id="rId5"/>
    <sheet name="ST_33" sheetId="36" r:id="rId6"/>
    <sheet name="UR_27" sheetId="26" r:id="rId7"/>
    <sheet name="OBC_27" sheetId="31" r:id="rId8"/>
    <sheet name="SC_UR_27" sheetId="29" r:id="rId9"/>
    <sheet name="EWS_27" sheetId="34" r:id="rId10"/>
    <sheet name="SC_27" sheetId="37" r:id="rId11"/>
    <sheet name="ST_EWS_UR_27" sheetId="27" r:id="rId12"/>
    <sheet name="UR_33" sheetId="22" r:id="rId13"/>
  </sheets>
  <calcPr calcId="162913"/>
</workbook>
</file>

<file path=xl/calcChain.xml><?xml version="1.0" encoding="utf-8"?>
<calcChain xmlns="http://schemas.openxmlformats.org/spreadsheetml/2006/main">
  <c r="F1" i="34" l="1"/>
  <c r="I1" i="22" l="1"/>
  <c r="I1" i="27"/>
  <c r="C10" i="37"/>
  <c r="C9" i="37"/>
  <c r="C8" i="37"/>
  <c r="F1" i="37"/>
  <c r="D11" i="37" s="1"/>
  <c r="I1" i="29"/>
  <c r="F1" i="31"/>
  <c r="I1" i="26"/>
  <c r="C10" i="36"/>
  <c r="C9" i="36"/>
  <c r="C8" i="36"/>
  <c r="F1" i="36"/>
  <c r="D11" i="36" s="1"/>
  <c r="C10" i="35"/>
  <c r="C9" i="35"/>
  <c r="C8" i="35"/>
  <c r="F1" i="35"/>
  <c r="D11" i="35" s="1"/>
  <c r="F1" i="30"/>
  <c r="I12" i="20"/>
  <c r="M12" i="20" s="1"/>
  <c r="H12" i="20"/>
  <c r="L12" i="20" s="1"/>
  <c r="G12" i="20"/>
  <c r="K12" i="20" s="1"/>
  <c r="F12" i="20"/>
  <c r="J12" i="20" s="1"/>
  <c r="I10" i="18"/>
  <c r="H10" i="18"/>
  <c r="G10" i="18"/>
  <c r="F10" i="18"/>
  <c r="F2" i="37" l="1"/>
  <c r="F3" i="37"/>
  <c r="F4" i="37"/>
  <c r="D8" i="37"/>
  <c r="D9" i="37"/>
  <c r="D10" i="37"/>
  <c r="F2" i="36"/>
  <c r="F3" i="36"/>
  <c r="F4" i="36"/>
  <c r="D9" i="36"/>
  <c r="D10" i="36"/>
  <c r="D8" i="36"/>
  <c r="F2" i="35"/>
  <c r="F3" i="35"/>
  <c r="F4" i="35"/>
  <c r="D8" i="35"/>
  <c r="D10" i="35"/>
  <c r="D9" i="35"/>
  <c r="F1" i="25"/>
  <c r="I1" i="20" l="1"/>
  <c r="I1" i="18"/>
  <c r="J10" i="18" l="1"/>
  <c r="L10" i="18"/>
  <c r="M10" i="18"/>
  <c r="K10" i="18"/>
  <c r="C10" i="34" l="1"/>
  <c r="C9" i="34"/>
  <c r="C8" i="34"/>
  <c r="F4" i="34"/>
  <c r="F3" i="34"/>
  <c r="F2" i="34"/>
  <c r="D13" i="31"/>
  <c r="C12" i="31"/>
  <c r="C11" i="31"/>
  <c r="D11" i="31" s="1"/>
  <c r="C10" i="31"/>
  <c r="D10" i="31" s="1"/>
  <c r="F4" i="31"/>
  <c r="F3" i="31"/>
  <c r="F2" i="31"/>
  <c r="C10" i="30"/>
  <c r="C9" i="30"/>
  <c r="C8" i="30"/>
  <c r="D8" i="30" s="1"/>
  <c r="F4" i="30"/>
  <c r="F3" i="30"/>
  <c r="F2" i="30"/>
  <c r="M12" i="29"/>
  <c r="K12" i="29"/>
  <c r="J12" i="29"/>
  <c r="I11" i="29"/>
  <c r="H11" i="29"/>
  <c r="G11" i="29"/>
  <c r="K11" i="29" s="1"/>
  <c r="F11" i="29"/>
  <c r="I10" i="29"/>
  <c r="M10" i="29" s="1"/>
  <c r="H10" i="29"/>
  <c r="L10" i="29" s="1"/>
  <c r="G10" i="29"/>
  <c r="K10" i="29" s="1"/>
  <c r="F10" i="29"/>
  <c r="J10" i="29" s="1"/>
  <c r="I9" i="29"/>
  <c r="H9" i="29"/>
  <c r="G9" i="29"/>
  <c r="K9" i="29" s="1"/>
  <c r="F9" i="29"/>
  <c r="J9" i="29" s="1"/>
  <c r="I2" i="29"/>
  <c r="M11" i="27"/>
  <c r="L11" i="27"/>
  <c r="K11" i="27"/>
  <c r="J11" i="27"/>
  <c r="I10" i="27"/>
  <c r="M10" i="27" s="1"/>
  <c r="H10" i="27"/>
  <c r="L10" i="27" s="1"/>
  <c r="G10" i="27"/>
  <c r="K10" i="27" s="1"/>
  <c r="F10" i="27"/>
  <c r="I9" i="27"/>
  <c r="M9" i="27" s="1"/>
  <c r="H9" i="27"/>
  <c r="L9" i="27" s="1"/>
  <c r="G9" i="27"/>
  <c r="K9" i="27" s="1"/>
  <c r="F9" i="27"/>
  <c r="J9" i="27" s="1"/>
  <c r="I8" i="27"/>
  <c r="M8" i="27" s="1"/>
  <c r="H8" i="27"/>
  <c r="L8" i="27" s="1"/>
  <c r="G8" i="27"/>
  <c r="K8" i="27" s="1"/>
  <c r="F8" i="27"/>
  <c r="J8" i="27" s="1"/>
  <c r="I4" i="27"/>
  <c r="I3" i="27"/>
  <c r="I2" i="27"/>
  <c r="J14" i="26"/>
  <c r="I13" i="26"/>
  <c r="H13" i="26"/>
  <c r="G13" i="26"/>
  <c r="F13" i="26"/>
  <c r="I12" i="26"/>
  <c r="H12" i="26"/>
  <c r="G12" i="26"/>
  <c r="F12" i="26"/>
  <c r="J12" i="26" s="1"/>
  <c r="I11" i="26"/>
  <c r="H11" i="26"/>
  <c r="G11" i="26"/>
  <c r="F11" i="26"/>
  <c r="C12" i="25"/>
  <c r="C11" i="25"/>
  <c r="C10" i="25"/>
  <c r="I10" i="22"/>
  <c r="H10" i="22"/>
  <c r="G10" i="22"/>
  <c r="F10" i="22"/>
  <c r="I9" i="22"/>
  <c r="H9" i="22"/>
  <c r="G9" i="22"/>
  <c r="F9" i="22"/>
  <c r="I8" i="22"/>
  <c r="H8" i="22"/>
  <c r="G8" i="22"/>
  <c r="F8" i="22"/>
  <c r="I11" i="20"/>
  <c r="H11" i="20"/>
  <c r="G11" i="20"/>
  <c r="F11" i="20"/>
  <c r="I10" i="20"/>
  <c r="H10" i="20"/>
  <c r="G10" i="20"/>
  <c r="F10" i="20"/>
  <c r="D8" i="34" l="1"/>
  <c r="D9" i="34"/>
  <c r="D10" i="34"/>
  <c r="D11" i="34"/>
  <c r="D12" i="31"/>
  <c r="D9" i="30"/>
  <c r="D10" i="30"/>
  <c r="D11" i="30"/>
  <c r="L12" i="29"/>
  <c r="L9" i="29"/>
  <c r="M9" i="29"/>
  <c r="J11" i="29"/>
  <c r="I3" i="29"/>
  <c r="L11" i="29"/>
  <c r="I4" i="29"/>
  <c r="M11" i="29"/>
  <c r="J10" i="27"/>
  <c r="K12" i="26"/>
  <c r="K14" i="26"/>
  <c r="L12" i="26"/>
  <c r="L14" i="26"/>
  <c r="M12" i="26"/>
  <c r="M14" i="26"/>
  <c r="J11" i="26"/>
  <c r="K11" i="26"/>
  <c r="L11" i="26"/>
  <c r="M11" i="26"/>
  <c r="J13" i="26"/>
  <c r="I2" i="26"/>
  <c r="K13" i="26"/>
  <c r="I3" i="26"/>
  <c r="L13" i="26"/>
  <c r="I4" i="26"/>
  <c r="M13" i="26"/>
  <c r="D13" i="25"/>
  <c r="D10" i="25"/>
  <c r="D11" i="25"/>
  <c r="D12" i="25"/>
  <c r="F2" i="25"/>
  <c r="F3" i="25"/>
  <c r="F4" i="25"/>
  <c r="K9" i="22"/>
  <c r="L9" i="22"/>
  <c r="M9" i="22"/>
  <c r="J10" i="22"/>
  <c r="I4" i="22"/>
  <c r="M10" i="22"/>
  <c r="J8" i="22"/>
  <c r="J11" i="22"/>
  <c r="K8" i="22"/>
  <c r="K11" i="22"/>
  <c r="L8" i="22"/>
  <c r="L11" i="22"/>
  <c r="M8" i="22"/>
  <c r="M11" i="22"/>
  <c r="I2" i="22"/>
  <c r="K10" i="22"/>
  <c r="I3" i="22"/>
  <c r="L10" i="22"/>
  <c r="J9" i="22"/>
  <c r="J13" i="20"/>
  <c r="L10" i="20"/>
  <c r="L13" i="20"/>
  <c r="J10" i="20"/>
  <c r="K10" i="20"/>
  <c r="I2" i="20"/>
  <c r="I3" i="20"/>
  <c r="K13" i="20"/>
  <c r="M10" i="20"/>
  <c r="M13" i="20"/>
  <c r="I4" i="20"/>
  <c r="J11" i="20"/>
  <c r="K11" i="20"/>
  <c r="L11" i="20"/>
  <c r="M11" i="20"/>
  <c r="M11" i="18"/>
  <c r="L11" i="18"/>
  <c r="K11" i="18"/>
  <c r="J11" i="18"/>
  <c r="I9" i="18" l="1"/>
  <c r="H9" i="18"/>
  <c r="G9" i="18"/>
  <c r="F9" i="18"/>
  <c r="I8" i="18"/>
  <c r="H8" i="18"/>
  <c r="G8" i="18"/>
  <c r="F8" i="18"/>
  <c r="K9" i="18" l="1"/>
  <c r="J9" i="18"/>
  <c r="L9" i="18"/>
  <c r="M9" i="18"/>
  <c r="K8" i="18"/>
  <c r="L8" i="18"/>
  <c r="J8" i="18"/>
  <c r="M8" i="18"/>
  <c r="I2" i="18"/>
  <c r="I3" i="18"/>
  <c r="I4" i="18"/>
</calcChain>
</file>

<file path=xl/sharedStrings.xml><?xml version="1.0" encoding="utf-8"?>
<sst xmlns="http://schemas.openxmlformats.org/spreadsheetml/2006/main" count="324" uniqueCount="53">
  <si>
    <t>Age as on</t>
  </si>
  <si>
    <t>Minimum years</t>
  </si>
  <si>
    <t>Maximum years</t>
  </si>
  <si>
    <t>OBC</t>
  </si>
  <si>
    <t>Post</t>
  </si>
  <si>
    <t>Maximum Relaxation Years</t>
  </si>
  <si>
    <t>Relaxation/Category</t>
  </si>
  <si>
    <t>Relaxation Years</t>
  </si>
  <si>
    <t>Maximum Years</t>
  </si>
  <si>
    <t>Maximum Relaxation Dates (Without Period)</t>
  </si>
  <si>
    <t>General</t>
  </si>
  <si>
    <t>SC</t>
  </si>
  <si>
    <t>ST</t>
  </si>
  <si>
    <t>PWBD</t>
  </si>
  <si>
    <t>UR/EWS</t>
  </si>
  <si>
    <t>EXS</t>
  </si>
  <si>
    <t>Superintendent</t>
  </si>
  <si>
    <t>Technical Assistant (Physics)</t>
  </si>
  <si>
    <t>Senior Assistant</t>
  </si>
  <si>
    <t>3 + Period of service</t>
  </si>
  <si>
    <t>6 + Period of service</t>
  </si>
  <si>
    <t>8 + Period of service</t>
  </si>
  <si>
    <t>Technician (Physics)</t>
  </si>
  <si>
    <t>EWS</t>
  </si>
  <si>
    <t>Technician (Civil Engineering)</t>
  </si>
  <si>
    <t>Technician (Chemical Engineering)</t>
  </si>
  <si>
    <t>Technician (Electrical Engineering)</t>
  </si>
  <si>
    <t>Technician (Mechanical Engineering)</t>
  </si>
  <si>
    <t>Technical Assistant (Applied Geology)</t>
  </si>
  <si>
    <t>Technical Assistant (Chemistry)</t>
  </si>
  <si>
    <t>Technical Assistant (Computer Science &amp; Engg)</t>
  </si>
  <si>
    <t>Technical Assistant (Metallurgical &amp; Materials Engg)</t>
  </si>
  <si>
    <t>Departmental Candidate</t>
  </si>
  <si>
    <t xml:space="preserve">Departmental Candidate </t>
  </si>
  <si>
    <t>Technical Assistant (Chemical Engineering)</t>
  </si>
  <si>
    <t>Technical Assistant (Civil Engineering)</t>
  </si>
  <si>
    <t>Technical Assistant (Computer Applications)</t>
  </si>
  <si>
    <t>Technical Assistant (Information Technology)</t>
  </si>
  <si>
    <t>Technical Assistant (Mathematics)</t>
  </si>
  <si>
    <t xml:space="preserve">Technical Assistant (Bio Technology)
</t>
  </si>
  <si>
    <t>Technical Assistant (Humanities &amp; Social Sciences)</t>
  </si>
  <si>
    <t>Technical Assistant (Architecture &amp; Planning)</t>
  </si>
  <si>
    <t>Senior Technician (Chemistry)</t>
  </si>
  <si>
    <t xml:space="preserve">Technician (Bio Technology)
</t>
  </si>
  <si>
    <t>Technician (Computer Applications)</t>
  </si>
  <si>
    <t>Technician (Electronics &amp; Comm Engg)</t>
  </si>
  <si>
    <t>Technician (Information Technology)</t>
  </si>
  <si>
    <t>Technician (Mining Engineering)</t>
  </si>
  <si>
    <t>Technician (Architecture &amp; Planning)</t>
  </si>
  <si>
    <t>Technician (Computer Science &amp; Engg)</t>
  </si>
  <si>
    <t>Technician (Metallurgical &amp; Materials Engg)</t>
  </si>
  <si>
    <t>Technician (Chemistry)</t>
  </si>
  <si>
    <t>Office Attendant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</si>
</sst>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/>
    <xf numFmtId="0" fontId="1" fillId="0" borderId="0" xfId="0" applyFont="1"/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3" fillId="2" borderId="0" xfId="0" applyFont="1" applyFill="1"/>
    <xf numFmtId="14" fontId="0" fillId="0" borderId="0" xfId="0" applyNumberFormat="1" applyFill="1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2" fillId="0" borderId="7" xfId="0" applyFont="1" applyFill="1" applyBorder="1"/>
    <xf numFmtId="0" fontId="2" fillId="0" borderId="1" xfId="0" applyFont="1" applyFill="1" applyBorder="1"/>
    <xf numFmtId="0" fontId="2" fillId="0" borderId="13" xfId="0" applyFont="1" applyFill="1" applyBorder="1"/>
    <xf numFmtId="1" fontId="0" fillId="0" borderId="1" xfId="0" applyNumberFormat="1" applyFill="1" applyBorder="1" applyAlignment="1">
      <alignment horizontal="center" vertical="center"/>
    </xf>
    <xf numFmtId="0" fontId="0" fillId="0" borderId="0" xfId="0" applyAlignment="1"/>
    <xf numFmtId="0" fontId="2" fillId="4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2" fillId="0" borderId="0" xfId="0" applyFont="1" applyFill="1" applyBorder="1"/>
    <xf numFmtId="164" fontId="2" fillId="0" borderId="0" xfId="0" applyNumberFormat="1" applyFont="1" applyFill="1" applyBorder="1"/>
    <xf numFmtId="0" fontId="3" fillId="0" borderId="0" xfId="0" applyFont="1"/>
    <xf numFmtId="1" fontId="0" fillId="0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/>
    <xf numFmtId="0" fontId="2" fillId="5" borderId="1" xfId="0" applyFont="1" applyFill="1" applyBorder="1" applyAlignment="1"/>
    <xf numFmtId="0" fontId="2" fillId="3" borderId="3" xfId="0" applyFont="1" applyFill="1" applyBorder="1" applyAlignment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8" xfId="0" applyNumberFormat="1" applyFont="1" applyFill="1" applyBorder="1"/>
    <xf numFmtId="164" fontId="2" fillId="0" borderId="10" xfId="0" applyNumberFormat="1" applyFont="1" applyFill="1" applyBorder="1"/>
    <xf numFmtId="164" fontId="2" fillId="0" borderId="14" xfId="0" applyNumberFormat="1" applyFont="1" applyFill="1" applyBorder="1"/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/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/>
    <xf numFmtId="0" fontId="4" fillId="0" borderId="0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  <xf numFmtId="0" fontId="2" fillId="3" borderId="12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 wrapText="1"/>
    </xf>
    <xf numFmtId="164" fontId="2" fillId="8" borderId="8" xfId="0" applyNumberFormat="1" applyFont="1" applyFill="1" applyBorder="1"/>
    <xf numFmtId="164" fontId="2" fillId="8" borderId="10" xfId="0" applyNumberFormat="1" applyFont="1" applyFill="1" applyBorder="1"/>
    <xf numFmtId="164" fontId="2" fillId="8" borderId="14" xfId="0" applyNumberFormat="1" applyFont="1" applyFill="1" applyBorder="1"/>
    <xf numFmtId="14" fontId="0" fillId="8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1D6FF"/>
      <color rgb="FFFFE7E7"/>
      <color rgb="FFFFB7B7"/>
      <color rgb="FF740000"/>
      <color rgb="FFFB9189"/>
      <color rgb="FFD5F4FF"/>
      <color rgb="FFB9E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I17" sqref="I17"/>
    </sheetView>
  </sheetViews>
  <sheetFormatPr defaultRowHeight="15" x14ac:dyDescent="0.25"/>
  <cols>
    <col min="1" max="1" width="35.85546875" style="1" customWidth="1"/>
    <col min="2" max="4" width="10.5703125" style="1" customWidth="1"/>
    <col min="5" max="5" width="9.85546875" style="1" customWidth="1"/>
    <col min="6" max="6" width="9.5703125" style="1" customWidth="1"/>
    <col min="7" max="7" width="9.140625" style="1" customWidth="1"/>
    <col min="8" max="8" width="7.85546875" style="1" customWidth="1"/>
    <col min="9" max="9" width="10.140625" style="1" bestFit="1" customWidth="1"/>
    <col min="10" max="13" width="8.7109375" style="1" bestFit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ht="15.75" x14ac:dyDescent="0.25">
      <c r="A2" s="17" t="s">
        <v>16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42.75" customHeight="1" thickBot="1" x14ac:dyDescent="0.3">
      <c r="A3" s="17"/>
      <c r="B3" s="9"/>
      <c r="F3" s="44" t="s">
        <v>2</v>
      </c>
      <c r="G3" s="45"/>
      <c r="H3" s="13">
        <v>30</v>
      </c>
      <c r="I3" s="30">
        <f xml:space="preserve"> DATE(YEAR($I$1) - H3,MONTH($I$1),DAY($I$1)+1)</f>
        <v>35279</v>
      </c>
    </row>
    <row r="4" spans="1:15" x14ac:dyDescent="0.25">
      <c r="B4" s="9"/>
      <c r="F4" s="6" t="s">
        <v>5</v>
      </c>
      <c r="G4" s="6"/>
      <c r="H4" s="6">
        <v>60</v>
      </c>
      <c r="I4" s="6">
        <f xml:space="preserve"> DATE(YEAR($I$1) - H4,MONTH($I$1),DAY($I$1)+1)</f>
        <v>24321</v>
      </c>
    </row>
    <row r="5" spans="1:15" x14ac:dyDescent="0.25">
      <c r="A5" s="10"/>
      <c r="B5" s="10"/>
    </row>
    <row r="6" spans="1:15" ht="15" customHeight="1" x14ac:dyDescent="0.25">
      <c r="A6" s="46" t="s">
        <v>6</v>
      </c>
      <c r="B6" s="47" t="s">
        <v>7</v>
      </c>
      <c r="C6" s="47"/>
      <c r="D6" s="47"/>
      <c r="E6" s="47"/>
      <c r="F6" s="48" t="s">
        <v>8</v>
      </c>
      <c r="G6" s="48"/>
      <c r="H6" s="48"/>
      <c r="I6" s="48"/>
      <c r="J6" s="37" t="s">
        <v>9</v>
      </c>
      <c r="K6" s="38"/>
      <c r="L6" s="38"/>
      <c r="M6" s="39"/>
    </row>
    <row r="7" spans="1:15" x14ac:dyDescent="0.25">
      <c r="A7" s="46"/>
      <c r="B7" s="4" t="s">
        <v>14</v>
      </c>
      <c r="C7" s="4" t="s">
        <v>3</v>
      </c>
      <c r="D7" s="4" t="s">
        <v>11</v>
      </c>
      <c r="E7" s="4" t="s">
        <v>12</v>
      </c>
      <c r="F7" s="5" t="s">
        <v>14</v>
      </c>
      <c r="G7" s="5" t="s">
        <v>3</v>
      </c>
      <c r="H7" s="5" t="s">
        <v>11</v>
      </c>
      <c r="I7" s="5" t="s">
        <v>12</v>
      </c>
      <c r="J7" s="4" t="s">
        <v>14</v>
      </c>
      <c r="K7" s="4" t="s">
        <v>3</v>
      </c>
      <c r="L7" s="4" t="s">
        <v>11</v>
      </c>
      <c r="M7" s="4" t="s">
        <v>12</v>
      </c>
    </row>
    <row r="8" spans="1:15" x14ac:dyDescent="0.25">
      <c r="A8" s="3" t="s">
        <v>10</v>
      </c>
      <c r="B8" s="14">
        <v>0</v>
      </c>
      <c r="C8" s="14">
        <v>0</v>
      </c>
      <c r="D8" s="14">
        <v>0</v>
      </c>
      <c r="E8" s="14">
        <v>5</v>
      </c>
      <c r="F8" s="14">
        <f t="shared" ref="F8:I10" si="0">IF($H$3+B8&gt;$H$4,$H$4,$H$3+B8)</f>
        <v>30</v>
      </c>
      <c r="G8" s="14">
        <f t="shared" si="0"/>
        <v>30</v>
      </c>
      <c r="H8" s="14">
        <f t="shared" si="0"/>
        <v>30</v>
      </c>
      <c r="I8" s="14">
        <f t="shared" si="0"/>
        <v>35</v>
      </c>
      <c r="J8" s="31">
        <f xml:space="preserve"> DATE(YEAR($I$1) - F8,MONTH($I$1),DAY($I$1)+1)</f>
        <v>35279</v>
      </c>
      <c r="K8" s="31">
        <f t="shared" ref="K8:M10" si="1" xml:space="preserve"> DATE(YEAR($I$1) - G8,MONTH($I$1),DAY($I$1)+1)</f>
        <v>35279</v>
      </c>
      <c r="L8" s="31">
        <f t="shared" si="1"/>
        <v>35279</v>
      </c>
      <c r="M8" s="31">
        <f t="shared" si="1"/>
        <v>33452</v>
      </c>
      <c r="O8" s="7"/>
    </row>
    <row r="9" spans="1:15" x14ac:dyDescent="0.25">
      <c r="A9" s="3" t="s">
        <v>13</v>
      </c>
      <c r="B9" s="14">
        <v>10</v>
      </c>
      <c r="C9" s="14">
        <v>10</v>
      </c>
      <c r="D9" s="14">
        <v>10</v>
      </c>
      <c r="E9" s="14">
        <v>15</v>
      </c>
      <c r="F9" s="14">
        <f t="shared" si="0"/>
        <v>40</v>
      </c>
      <c r="G9" s="14">
        <f t="shared" si="0"/>
        <v>40</v>
      </c>
      <c r="H9" s="14">
        <f t="shared" si="0"/>
        <v>40</v>
      </c>
      <c r="I9" s="14">
        <f t="shared" si="0"/>
        <v>45</v>
      </c>
      <c r="J9" s="31">
        <f t="shared" ref="J9:J10" si="2" xml:space="preserve"> DATE(YEAR($I$1) - F9,MONTH($I$1),DAY($I$1)+1)</f>
        <v>31626</v>
      </c>
      <c r="K9" s="31">
        <f t="shared" si="1"/>
        <v>31626</v>
      </c>
      <c r="L9" s="31">
        <f t="shared" si="1"/>
        <v>31626</v>
      </c>
      <c r="M9" s="31">
        <f t="shared" si="1"/>
        <v>29800</v>
      </c>
    </row>
    <row r="10" spans="1:15" x14ac:dyDescent="0.25">
      <c r="A10" s="3" t="s">
        <v>32</v>
      </c>
      <c r="B10" s="14">
        <v>5</v>
      </c>
      <c r="C10" s="14">
        <v>5</v>
      </c>
      <c r="D10" s="14">
        <v>5</v>
      </c>
      <c r="E10" s="14">
        <v>10</v>
      </c>
      <c r="F10" s="14">
        <f t="shared" si="0"/>
        <v>35</v>
      </c>
      <c r="G10" s="14">
        <f t="shared" si="0"/>
        <v>35</v>
      </c>
      <c r="H10" s="14">
        <f t="shared" si="0"/>
        <v>35</v>
      </c>
      <c r="I10" s="14">
        <f t="shared" si="0"/>
        <v>40</v>
      </c>
      <c r="J10" s="31">
        <f t="shared" si="2"/>
        <v>33452</v>
      </c>
      <c r="K10" s="31">
        <f t="shared" si="1"/>
        <v>33452</v>
      </c>
      <c r="L10" s="31">
        <f t="shared" si="1"/>
        <v>33452</v>
      </c>
      <c r="M10" s="31">
        <f t="shared" si="1"/>
        <v>31626</v>
      </c>
    </row>
    <row r="11" spans="1:15" s="15" customFormat="1" ht="30" x14ac:dyDescent="0.25">
      <c r="A11" s="16" t="s">
        <v>15</v>
      </c>
      <c r="B11" s="22" t="s">
        <v>19</v>
      </c>
      <c r="C11" s="22" t="s">
        <v>19</v>
      </c>
      <c r="D11" s="22" t="s">
        <v>19</v>
      </c>
      <c r="E11" s="22" t="s">
        <v>21</v>
      </c>
      <c r="F11" s="14">
        <v>55</v>
      </c>
      <c r="G11" s="14">
        <v>55</v>
      </c>
      <c r="H11" s="14">
        <v>55</v>
      </c>
      <c r="I11" s="14">
        <v>55</v>
      </c>
      <c r="J11" s="31">
        <f t="shared" ref="J11" si="3" xml:space="preserve"> DATE(YEAR($I$1) - F11,MONTH($I$1),DAY($I$1)+1)</f>
        <v>26147</v>
      </c>
      <c r="K11" s="31">
        <f t="shared" ref="K11" si="4" xml:space="preserve"> DATE(YEAR($I$1) - G11,MONTH($I$1),DAY($I$1)+1)</f>
        <v>26147</v>
      </c>
      <c r="L11" s="31">
        <f t="shared" ref="L11" si="5" xml:space="preserve"> DATE(YEAR($I$1) - H11,MONTH($I$1),DAY($I$1)+1)</f>
        <v>26147</v>
      </c>
      <c r="M11" s="31">
        <f t="shared" ref="M11" si="6" xml:space="preserve"> DATE(YEAR($I$1) - I11,MONTH($I$1),DAY($I$1)+1)</f>
        <v>26147</v>
      </c>
    </row>
  </sheetData>
  <mergeCells count="7">
    <mergeCell ref="J6:M6"/>
    <mergeCell ref="F1:G1"/>
    <mergeCell ref="F2:G2"/>
    <mergeCell ref="F3:G3"/>
    <mergeCell ref="A6:A7"/>
    <mergeCell ref="B6:E6"/>
    <mergeCell ref="F6:I6"/>
  </mergeCells>
  <pageMargins left="0.17" right="0.17" top="0.28999999999999998" bottom="0.17" header="0.3" footer="0.19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H3" sqref="H3"/>
    </sheetView>
  </sheetViews>
  <sheetFormatPr defaultRowHeight="15" x14ac:dyDescent="0.25"/>
  <cols>
    <col min="1" max="1" width="37.140625" style="1" bestFit="1" customWidth="1"/>
    <col min="2" max="5" width="9.140625" style="1" customWidth="1"/>
    <col min="6" max="6" width="9.85546875" style="1" customWidth="1"/>
    <col min="7" max="7" width="8.28515625" style="1" customWidth="1"/>
    <col min="8" max="8" width="9.140625" style="1" customWidth="1"/>
    <col min="9" max="9" width="10.140625" style="1" bestFit="1" customWidth="1"/>
    <col min="10" max="11" width="10.7109375" style="1" customWidth="1"/>
    <col min="12" max="12" width="11.140625" style="1" customWidth="1"/>
    <col min="13" max="13" width="10.42578125" style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x14ac:dyDescent="0.25">
      <c r="A2" s="34" t="s">
        <v>28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15.75" thickBot="1" x14ac:dyDescent="0.3">
      <c r="A3" s="34" t="s">
        <v>29</v>
      </c>
      <c r="B3" s="9"/>
      <c r="F3" s="44" t="s">
        <v>2</v>
      </c>
      <c r="G3" s="45"/>
      <c r="H3" s="13">
        <v>30</v>
      </c>
      <c r="I3" s="30">
        <f xml:space="preserve"> DATE(YEAR($I$1) - H3,MONTH($I$1),DAY($I$1)+1)</f>
        <v>35279</v>
      </c>
    </row>
    <row r="4" spans="1:15" ht="28.5" x14ac:dyDescent="0.25">
      <c r="A4" s="34" t="s">
        <v>30</v>
      </c>
      <c r="B4" s="9"/>
      <c r="F4" s="6" t="s">
        <v>5</v>
      </c>
      <c r="G4" s="6"/>
      <c r="H4" s="6">
        <v>60</v>
      </c>
      <c r="I4" s="6">
        <f xml:space="preserve"> DATE(YEAR($I$1) - H4,MONTH($I$1),DAY($I$1)+1)</f>
        <v>24321</v>
      </c>
    </row>
    <row r="5" spans="1:15" ht="28.5" x14ac:dyDescent="0.25">
      <c r="A5" s="34" t="s">
        <v>31</v>
      </c>
      <c r="B5" s="9"/>
      <c r="F5" s="6"/>
      <c r="G5" s="6"/>
      <c r="H5" s="6"/>
      <c r="I5" s="6"/>
    </row>
    <row r="6" spans="1:15" x14ac:dyDescent="0.25">
      <c r="A6" s="34" t="s">
        <v>17</v>
      </c>
      <c r="B6" s="9"/>
      <c r="F6" s="6"/>
      <c r="G6" s="6"/>
      <c r="H6" s="6"/>
      <c r="I6" s="6"/>
    </row>
    <row r="7" spans="1:15" x14ac:dyDescent="0.25">
      <c r="A7" s="34"/>
      <c r="B7" s="9"/>
      <c r="F7" s="6"/>
      <c r="G7" s="6"/>
      <c r="H7" s="6"/>
      <c r="I7" s="6"/>
    </row>
    <row r="8" spans="1:15" ht="15" customHeight="1" x14ac:dyDescent="0.25">
      <c r="A8" s="46" t="s">
        <v>6</v>
      </c>
      <c r="B8" s="47" t="s">
        <v>7</v>
      </c>
      <c r="C8" s="47"/>
      <c r="D8" s="47"/>
      <c r="E8" s="47"/>
      <c r="F8" s="48" t="s">
        <v>8</v>
      </c>
      <c r="G8" s="48"/>
      <c r="H8" s="48"/>
      <c r="I8" s="48"/>
      <c r="J8" s="37" t="s">
        <v>9</v>
      </c>
      <c r="K8" s="38"/>
      <c r="L8" s="38"/>
      <c r="M8" s="39"/>
    </row>
    <row r="9" spans="1:15" x14ac:dyDescent="0.25">
      <c r="A9" s="46"/>
      <c r="B9" s="4" t="s">
        <v>14</v>
      </c>
      <c r="C9" s="4" t="s">
        <v>3</v>
      </c>
      <c r="D9" s="4" t="s">
        <v>11</v>
      </c>
      <c r="E9" s="4" t="s">
        <v>12</v>
      </c>
      <c r="F9" s="5" t="s">
        <v>14</v>
      </c>
      <c r="G9" s="5" t="s">
        <v>3</v>
      </c>
      <c r="H9" s="5" t="s">
        <v>11</v>
      </c>
      <c r="I9" s="5" t="s">
        <v>12</v>
      </c>
      <c r="J9" s="4" t="s">
        <v>14</v>
      </c>
      <c r="K9" s="4" t="s">
        <v>3</v>
      </c>
      <c r="L9" s="4" t="s">
        <v>11</v>
      </c>
      <c r="M9" s="4" t="s">
        <v>12</v>
      </c>
    </row>
    <row r="10" spans="1:15" x14ac:dyDescent="0.25">
      <c r="A10" s="3" t="s">
        <v>10</v>
      </c>
      <c r="B10" s="14">
        <v>0</v>
      </c>
      <c r="C10" s="14">
        <v>0</v>
      </c>
      <c r="D10" s="14">
        <v>0</v>
      </c>
      <c r="E10" s="14">
        <v>0</v>
      </c>
      <c r="F10" s="14">
        <f t="shared" ref="F10:I11" si="0">IF($H$3+B10&gt;$H$4,$H$4,$H$3+B10)</f>
        <v>30</v>
      </c>
      <c r="G10" s="14">
        <f t="shared" si="0"/>
        <v>30</v>
      </c>
      <c r="H10" s="14">
        <f t="shared" si="0"/>
        <v>30</v>
      </c>
      <c r="I10" s="14">
        <f t="shared" si="0"/>
        <v>30</v>
      </c>
      <c r="J10" s="31">
        <f xml:space="preserve"> DATE(YEAR($I$1) - F10,MONTH($I$1),DAY($I$1)+1)</f>
        <v>35279</v>
      </c>
      <c r="K10" s="31">
        <f t="shared" ref="K10:M13" si="1" xml:space="preserve"> DATE(YEAR($I$1) - G10,MONTH($I$1),DAY($I$1)+1)</f>
        <v>35279</v>
      </c>
      <c r="L10" s="31">
        <f t="shared" si="1"/>
        <v>35279</v>
      </c>
      <c r="M10" s="31">
        <f t="shared" si="1"/>
        <v>35279</v>
      </c>
      <c r="N10" s="32"/>
      <c r="O10" s="7"/>
    </row>
    <row r="11" spans="1:15" x14ac:dyDescent="0.25">
      <c r="A11" s="3" t="s">
        <v>13</v>
      </c>
      <c r="B11" s="14">
        <v>10</v>
      </c>
      <c r="C11" s="14">
        <v>10</v>
      </c>
      <c r="D11" s="14">
        <v>10</v>
      </c>
      <c r="E11" s="14">
        <v>10</v>
      </c>
      <c r="F11" s="14">
        <f t="shared" si="0"/>
        <v>40</v>
      </c>
      <c r="G11" s="14">
        <f t="shared" si="0"/>
        <v>40</v>
      </c>
      <c r="H11" s="14">
        <f t="shared" si="0"/>
        <v>40</v>
      </c>
      <c r="I11" s="14">
        <f t="shared" si="0"/>
        <v>40</v>
      </c>
      <c r="J11" s="31">
        <f t="shared" ref="J11:J13" si="2" xml:space="preserve"> DATE(YEAR($I$1) - F11,MONTH($I$1),DAY($I$1)+1)</f>
        <v>31626</v>
      </c>
      <c r="K11" s="31">
        <f t="shared" si="1"/>
        <v>31626</v>
      </c>
      <c r="L11" s="31">
        <f t="shared" si="1"/>
        <v>31626</v>
      </c>
      <c r="M11" s="31">
        <f t="shared" si="1"/>
        <v>31626</v>
      </c>
      <c r="N11" s="32"/>
    </row>
    <row r="12" spans="1:15" x14ac:dyDescent="0.25">
      <c r="A12" s="3" t="s">
        <v>32</v>
      </c>
      <c r="B12" s="14">
        <v>5</v>
      </c>
      <c r="C12" s="14">
        <v>5</v>
      </c>
      <c r="D12" s="14">
        <v>5</v>
      </c>
      <c r="E12" s="14">
        <v>5</v>
      </c>
      <c r="F12" s="14">
        <f t="shared" ref="F12" si="3">IF($H$3+B12&gt;$H$4,$H$4,$H$3+B12)</f>
        <v>35</v>
      </c>
      <c r="G12" s="14">
        <f t="shared" ref="G12" si="4">IF($H$3+C12&gt;$H$4,$H$4,$H$3+C12)</f>
        <v>35</v>
      </c>
      <c r="H12" s="14">
        <f t="shared" ref="H12" si="5">IF($H$3+D12&gt;$H$4,$H$4,$H$3+D12)</f>
        <v>35</v>
      </c>
      <c r="I12" s="14">
        <f t="shared" ref="I12" si="6">IF($H$3+E12&gt;$H$4,$H$4,$H$3+E12)</f>
        <v>35</v>
      </c>
      <c r="J12" s="31">
        <f t="shared" ref="J12" si="7" xml:space="preserve"> DATE(YEAR($I$1) - F12,MONTH($I$1),DAY($I$1)+1)</f>
        <v>33452</v>
      </c>
      <c r="K12" s="31">
        <f t="shared" ref="K12" si="8" xml:space="preserve"> DATE(YEAR($I$1) - G12,MONTH($I$1),DAY($I$1)+1)</f>
        <v>33452</v>
      </c>
      <c r="L12" s="31">
        <f t="shared" ref="L12" si="9" xml:space="preserve"> DATE(YEAR($I$1) - H12,MONTH($I$1),DAY($I$1)+1)</f>
        <v>33452</v>
      </c>
      <c r="M12" s="31">
        <f t="shared" ref="M12" si="10" xml:space="preserve"> DATE(YEAR($I$1) - I12,MONTH($I$1),DAY($I$1)+1)</f>
        <v>33452</v>
      </c>
      <c r="N12" s="32"/>
    </row>
    <row r="13" spans="1:15" s="15" customFormat="1" ht="45" x14ac:dyDescent="0.25">
      <c r="A13" s="16" t="s">
        <v>15</v>
      </c>
      <c r="B13" s="22" t="s">
        <v>19</v>
      </c>
      <c r="C13" s="22" t="s">
        <v>19</v>
      </c>
      <c r="D13" s="22" t="s">
        <v>19</v>
      </c>
      <c r="E13" s="22" t="s">
        <v>19</v>
      </c>
      <c r="F13" s="14">
        <v>55</v>
      </c>
      <c r="G13" s="14">
        <v>55</v>
      </c>
      <c r="H13" s="14">
        <v>55</v>
      </c>
      <c r="I13" s="14">
        <v>55</v>
      </c>
      <c r="J13" s="31">
        <f t="shared" si="2"/>
        <v>26147</v>
      </c>
      <c r="K13" s="31">
        <f t="shared" si="1"/>
        <v>26147</v>
      </c>
      <c r="L13" s="31">
        <f t="shared" si="1"/>
        <v>26147</v>
      </c>
      <c r="M13" s="31">
        <f t="shared" si="1"/>
        <v>26147</v>
      </c>
      <c r="N13" s="33"/>
    </row>
  </sheetData>
  <mergeCells count="7">
    <mergeCell ref="J8:M8"/>
    <mergeCell ref="F1:G1"/>
    <mergeCell ref="F2:G2"/>
    <mergeCell ref="F3:G3"/>
    <mergeCell ref="A8:A9"/>
    <mergeCell ref="B8:E8"/>
    <mergeCell ref="F8:I8"/>
  </mergeCells>
  <pageMargins left="0.17" right="0.17" top="0.33" bottom="0.26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B13" sqref="B13"/>
    </sheetView>
  </sheetViews>
  <sheetFormatPr defaultRowHeight="15" x14ac:dyDescent="0.25"/>
  <cols>
    <col min="1" max="1" width="29.710937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ht="28.5" x14ac:dyDescent="0.25">
      <c r="A2" s="34" t="s">
        <v>34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29.25" thickBot="1" x14ac:dyDescent="0.3">
      <c r="A3" s="34" t="s">
        <v>35</v>
      </c>
      <c r="B3" s="9"/>
      <c r="C3" s="44" t="s">
        <v>2</v>
      </c>
      <c r="D3" s="45"/>
      <c r="E3" s="13">
        <v>30</v>
      </c>
      <c r="F3" s="30">
        <f xml:space="preserve"> DATE(YEAR($F$1) - E3,MONTH($F$1),DAY($F$1)+1)</f>
        <v>35279</v>
      </c>
    </row>
    <row r="4" spans="1:8" ht="28.5" x14ac:dyDescent="0.25">
      <c r="A4" s="34" t="s">
        <v>36</v>
      </c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ht="28.5" x14ac:dyDescent="0.25">
      <c r="A5" s="34" t="s">
        <v>37</v>
      </c>
      <c r="B5" s="10"/>
    </row>
    <row r="6" spans="1:8" ht="28.5" x14ac:dyDescent="0.25">
      <c r="A6" s="34" t="s">
        <v>38</v>
      </c>
      <c r="B6" s="10"/>
    </row>
    <row r="7" spans="1:8" x14ac:dyDescent="0.25">
      <c r="A7" s="34"/>
      <c r="B7" s="10"/>
    </row>
    <row r="8" spans="1:8" ht="15" customHeight="1" x14ac:dyDescent="0.25">
      <c r="A8" s="46" t="s">
        <v>6</v>
      </c>
      <c r="B8" s="23" t="s">
        <v>7</v>
      </c>
      <c r="C8" s="24" t="s">
        <v>8</v>
      </c>
      <c r="D8" s="25" t="s">
        <v>9</v>
      </c>
      <c r="E8" s="15"/>
      <c r="F8" s="15"/>
    </row>
    <row r="9" spans="1:8" x14ac:dyDescent="0.25">
      <c r="A9" s="46"/>
      <c r="B9" s="26" t="s">
        <v>3</v>
      </c>
      <c r="C9" s="27" t="s">
        <v>3</v>
      </c>
      <c r="D9" s="26" t="s">
        <v>3</v>
      </c>
      <c r="E9" s="15"/>
      <c r="F9" s="15"/>
    </row>
    <row r="10" spans="1:8" x14ac:dyDescent="0.25">
      <c r="A10" s="3" t="s">
        <v>10</v>
      </c>
      <c r="B10" s="14">
        <v>3</v>
      </c>
      <c r="C10" s="14">
        <f>IF($E$3+B10&gt;$E$4,$E$4,$E$3+B10)</f>
        <v>33</v>
      </c>
      <c r="D10" s="31">
        <f xml:space="preserve"> DATE(YEAR($F$1) - C10,MONTH($F$1),DAY($F$1)+1)</f>
        <v>34183</v>
      </c>
      <c r="E10" s="15"/>
      <c r="F10" s="15"/>
      <c r="H10" s="7"/>
    </row>
    <row r="11" spans="1:8" x14ac:dyDescent="0.25">
      <c r="A11" s="3" t="s">
        <v>13</v>
      </c>
      <c r="B11" s="14">
        <v>13</v>
      </c>
      <c r="C11" s="14">
        <f>IF($E$3+B11&gt;$E$4,$E$4,$E$3+B11)</f>
        <v>43</v>
      </c>
      <c r="D11" s="31">
        <f xml:space="preserve"> DATE(YEAR($F$1) - C11,MONTH($F$1),DAY($F$1)+1)</f>
        <v>30530</v>
      </c>
      <c r="E11" s="15"/>
      <c r="F11" s="15"/>
    </row>
    <row r="12" spans="1:8" x14ac:dyDescent="0.25">
      <c r="A12" s="3" t="s">
        <v>33</v>
      </c>
      <c r="B12" s="14">
        <v>8</v>
      </c>
      <c r="C12" s="14">
        <f>IF($E$3+B12&gt;$E$4,$E$4,$E$3+B12)</f>
        <v>38</v>
      </c>
      <c r="D12" s="31">
        <f xml:space="preserve"> DATE(YEAR($F$1) - C12,MONTH($F$1),DAY($F$1)+1)</f>
        <v>32357</v>
      </c>
      <c r="E12" s="15"/>
      <c r="F12" s="15"/>
    </row>
    <row r="13" spans="1:8" s="15" customFormat="1" ht="30" x14ac:dyDescent="0.25">
      <c r="A13" s="16" t="s">
        <v>15</v>
      </c>
      <c r="B13" s="22" t="s">
        <v>20</v>
      </c>
      <c r="C13" s="14">
        <v>55</v>
      </c>
      <c r="D13" s="31">
        <f xml:space="preserve"> DATE(YEAR($F$1) - C13,MONTH($F$1),DAY($F$1)+1)</f>
        <v>26147</v>
      </c>
    </row>
  </sheetData>
  <mergeCells count="4">
    <mergeCell ref="C1:D1"/>
    <mergeCell ref="C2:D2"/>
    <mergeCell ref="C3:D3"/>
    <mergeCell ref="A8:A9"/>
  </mergeCells>
  <pageMargins left="0.17" right="0.17" top="0.35" bottom="0.28999999999999998" header="0.3" footer="0.3"/>
  <pageSetup paperSize="9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XFD1048576"/>
    </sheetView>
  </sheetViews>
  <sheetFormatPr defaultRowHeight="15" x14ac:dyDescent="0.25"/>
  <cols>
    <col min="1" max="1" width="37.14062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ht="28.5" x14ac:dyDescent="0.25">
      <c r="A2" s="34" t="s">
        <v>39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29.25" thickBot="1" x14ac:dyDescent="0.3">
      <c r="A3" s="34" t="s">
        <v>40</v>
      </c>
      <c r="B3" s="9"/>
      <c r="C3" s="44" t="s">
        <v>2</v>
      </c>
      <c r="D3" s="45"/>
      <c r="E3" s="13">
        <v>30</v>
      </c>
      <c r="F3" s="30">
        <f xml:space="preserve"> DATE(YEAR($F$1) - E3,MONTH($F$1),DAY($F$1)+1)</f>
        <v>35279</v>
      </c>
    </row>
    <row r="4" spans="1:8" x14ac:dyDescent="0.25"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x14ac:dyDescent="0.25">
      <c r="A5" s="10"/>
      <c r="B5" s="10"/>
    </row>
    <row r="6" spans="1:8" ht="15" customHeight="1" x14ac:dyDescent="0.25">
      <c r="A6" s="46" t="s">
        <v>6</v>
      </c>
      <c r="B6" s="23" t="s">
        <v>7</v>
      </c>
      <c r="C6" s="24" t="s">
        <v>8</v>
      </c>
      <c r="D6" s="25" t="s">
        <v>9</v>
      </c>
      <c r="E6" s="15"/>
      <c r="F6" s="15"/>
    </row>
    <row r="7" spans="1:8" x14ac:dyDescent="0.25">
      <c r="A7" s="46"/>
      <c r="B7" s="26" t="s">
        <v>11</v>
      </c>
      <c r="C7" s="27" t="s">
        <v>11</v>
      </c>
      <c r="D7" s="26" t="s">
        <v>11</v>
      </c>
      <c r="E7" s="15"/>
      <c r="F7" s="15"/>
    </row>
    <row r="8" spans="1:8" x14ac:dyDescent="0.25">
      <c r="A8" s="3" t="s">
        <v>10</v>
      </c>
      <c r="B8" s="14">
        <v>5</v>
      </c>
      <c r="C8" s="14">
        <f>IF($E$3+B8&gt;$E$4,$E$4,$E$3+B8)</f>
        <v>35</v>
      </c>
      <c r="D8" s="31">
        <f xml:space="preserve"> DATE(YEAR($F$1) - C8,MONTH($F$1),DAY($F$1)+1)</f>
        <v>33452</v>
      </c>
      <c r="E8" s="15"/>
      <c r="F8" s="15"/>
      <c r="H8" s="7"/>
    </row>
    <row r="9" spans="1:8" x14ac:dyDescent="0.25">
      <c r="A9" s="3" t="s">
        <v>13</v>
      </c>
      <c r="B9" s="14">
        <v>15</v>
      </c>
      <c r="C9" s="14">
        <f>IF($E$3+B9&gt;$E$4,$E$4,$E$3+B9)</f>
        <v>45</v>
      </c>
      <c r="D9" s="31">
        <f xml:space="preserve"> DATE(YEAR($F$1) - C9,MONTH($F$1),DAY($F$1)+1)</f>
        <v>29800</v>
      </c>
      <c r="E9" s="15"/>
      <c r="F9" s="15"/>
    </row>
    <row r="10" spans="1:8" x14ac:dyDescent="0.25">
      <c r="A10" s="3" t="s">
        <v>33</v>
      </c>
      <c r="B10" s="14">
        <v>10</v>
      </c>
      <c r="C10" s="14">
        <f>IF($E$3+B10&gt;$E$4,$E$4,$E$3+B10)</f>
        <v>40</v>
      </c>
      <c r="D10" s="31">
        <f xml:space="preserve"> DATE(YEAR($F$1) - C10,MONTH($F$1),DAY($F$1)+1)</f>
        <v>31626</v>
      </c>
      <c r="E10" s="15"/>
      <c r="F10" s="15"/>
    </row>
    <row r="11" spans="1:8" s="15" customFormat="1" ht="30" x14ac:dyDescent="0.25">
      <c r="A11" s="16" t="s">
        <v>15</v>
      </c>
      <c r="B11" s="22" t="s">
        <v>21</v>
      </c>
      <c r="C11" s="14">
        <v>55</v>
      </c>
      <c r="D11" s="31">
        <f xml:space="preserve"> DATE(YEAR($F$1) - C11,MONTH($F$1),DAY($F$1)+1)</f>
        <v>26147</v>
      </c>
    </row>
  </sheetData>
  <mergeCells count="4">
    <mergeCell ref="C1:D1"/>
    <mergeCell ref="C2:D2"/>
    <mergeCell ref="C3:D3"/>
    <mergeCell ref="A6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12" sqref="B12"/>
    </sheetView>
  </sheetViews>
  <sheetFormatPr defaultRowHeight="15" x14ac:dyDescent="0.25"/>
  <cols>
    <col min="1" max="1" width="37.14062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ht="28.5" x14ac:dyDescent="0.25">
      <c r="A2" s="34" t="s">
        <v>41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15.75" thickBot="1" x14ac:dyDescent="0.3">
      <c r="A3" s="34"/>
      <c r="B3" s="9"/>
      <c r="C3" s="44" t="s">
        <v>2</v>
      </c>
      <c r="D3" s="45"/>
      <c r="E3" s="13">
        <v>30</v>
      </c>
      <c r="F3" s="30">
        <f xml:space="preserve"> DATE(YEAR($F$1) - E3,MONTH($F$1),DAY($F$1)+1)</f>
        <v>35279</v>
      </c>
    </row>
    <row r="4" spans="1:8" x14ac:dyDescent="0.25"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x14ac:dyDescent="0.25">
      <c r="A5" s="10"/>
      <c r="B5" s="10"/>
    </row>
    <row r="6" spans="1:8" ht="15" customHeight="1" x14ac:dyDescent="0.25">
      <c r="A6" s="46" t="s">
        <v>6</v>
      </c>
      <c r="B6" s="23" t="s">
        <v>7</v>
      </c>
      <c r="C6" s="24" t="s">
        <v>8</v>
      </c>
      <c r="D6" s="25" t="s">
        <v>9</v>
      </c>
      <c r="E6" s="15"/>
      <c r="F6" s="15"/>
    </row>
    <row r="7" spans="1:8" x14ac:dyDescent="0.25">
      <c r="A7" s="46"/>
      <c r="B7" s="26" t="s">
        <v>12</v>
      </c>
      <c r="C7" s="27" t="s">
        <v>12</v>
      </c>
      <c r="D7" s="26" t="s">
        <v>12</v>
      </c>
      <c r="E7" s="15"/>
      <c r="F7" s="15"/>
    </row>
    <row r="8" spans="1:8" x14ac:dyDescent="0.25">
      <c r="A8" s="3" t="s">
        <v>10</v>
      </c>
      <c r="B8" s="14">
        <v>5</v>
      </c>
      <c r="C8" s="14">
        <f>IF($E$3+B8&gt;$E$4,$E$4,$E$3+B8)</f>
        <v>35</v>
      </c>
      <c r="D8" s="31">
        <f xml:space="preserve"> DATE(YEAR($F$1) - C8,MONTH($F$1),DAY($F$1)+1)</f>
        <v>33452</v>
      </c>
      <c r="E8" s="15"/>
      <c r="F8" s="15"/>
      <c r="H8" s="7"/>
    </row>
    <row r="9" spans="1:8" x14ac:dyDescent="0.25">
      <c r="A9" s="3" t="s">
        <v>13</v>
      </c>
      <c r="B9" s="14">
        <v>15</v>
      </c>
      <c r="C9" s="14">
        <f>IF($E$3+B9&gt;$E$4,$E$4,$E$3+B9)</f>
        <v>45</v>
      </c>
      <c r="D9" s="31">
        <f xml:space="preserve"> DATE(YEAR($F$1) - C9,MONTH($F$1),DAY($F$1)+1)</f>
        <v>29800</v>
      </c>
      <c r="E9" s="15"/>
      <c r="F9" s="15"/>
    </row>
    <row r="10" spans="1:8" x14ac:dyDescent="0.25">
      <c r="A10" s="3" t="s">
        <v>33</v>
      </c>
      <c r="B10" s="14">
        <v>10</v>
      </c>
      <c r="C10" s="14">
        <f>IF($E$3+B10&gt;$E$4,$E$4,$E$3+B10)</f>
        <v>40</v>
      </c>
      <c r="D10" s="31">
        <f xml:space="preserve"> DATE(YEAR($F$1) - C10,MONTH($F$1),DAY($F$1)+1)</f>
        <v>31626</v>
      </c>
      <c r="E10" s="15"/>
      <c r="F10" s="15"/>
    </row>
    <row r="11" spans="1:8" s="15" customFormat="1" ht="30" x14ac:dyDescent="0.25">
      <c r="A11" s="16" t="s">
        <v>15</v>
      </c>
      <c r="B11" s="22" t="s">
        <v>21</v>
      </c>
      <c r="C11" s="14">
        <v>55</v>
      </c>
      <c r="D11" s="31">
        <f xml:space="preserve"> DATE(YEAR($F$1) - C11,MONTH($F$1),DAY($F$1)+1)</f>
        <v>26147</v>
      </c>
    </row>
  </sheetData>
  <mergeCells count="4">
    <mergeCell ref="C1:D1"/>
    <mergeCell ref="C2:D2"/>
    <mergeCell ref="C3:D3"/>
    <mergeCell ref="A6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A10" sqref="A10"/>
    </sheetView>
  </sheetViews>
  <sheetFormatPr defaultRowHeight="15" x14ac:dyDescent="0.25"/>
  <cols>
    <col min="1" max="1" width="37.14062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x14ac:dyDescent="0.25">
      <c r="A2" s="34" t="s">
        <v>42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15.75" thickBot="1" x14ac:dyDescent="0.3">
      <c r="A3" s="34"/>
      <c r="B3" s="9"/>
      <c r="C3" s="44" t="s">
        <v>2</v>
      </c>
      <c r="D3" s="45"/>
      <c r="E3" s="13">
        <v>33</v>
      </c>
      <c r="F3" s="30">
        <f xml:space="preserve"> DATE(YEAR($F$1) - E3,MONTH($F$1),DAY($F$1)+1)</f>
        <v>34183</v>
      </c>
    </row>
    <row r="4" spans="1:8" x14ac:dyDescent="0.25"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x14ac:dyDescent="0.25">
      <c r="A5" s="10"/>
      <c r="B5" s="10"/>
    </row>
    <row r="6" spans="1:8" ht="15" customHeight="1" x14ac:dyDescent="0.25">
      <c r="A6" s="46" t="s">
        <v>6</v>
      </c>
      <c r="B6" s="23" t="s">
        <v>7</v>
      </c>
      <c r="C6" s="24" t="s">
        <v>8</v>
      </c>
      <c r="D6" s="25" t="s">
        <v>9</v>
      </c>
      <c r="E6" s="15"/>
      <c r="F6" s="15"/>
    </row>
    <row r="7" spans="1:8" x14ac:dyDescent="0.25">
      <c r="A7" s="46"/>
      <c r="B7" s="26" t="s">
        <v>12</v>
      </c>
      <c r="C7" s="27" t="s">
        <v>12</v>
      </c>
      <c r="D7" s="26" t="s">
        <v>12</v>
      </c>
      <c r="E7" s="15"/>
      <c r="F7" s="15"/>
    </row>
    <row r="8" spans="1:8" x14ac:dyDescent="0.25">
      <c r="A8" s="3" t="s">
        <v>10</v>
      </c>
      <c r="B8" s="14">
        <v>5</v>
      </c>
      <c r="C8" s="14">
        <f>IF($E$3+B8&gt;$E$4,$E$4,$E$3+B8)</f>
        <v>38</v>
      </c>
      <c r="D8" s="31">
        <f xml:space="preserve"> DATE(YEAR($F$1) - C8,MONTH($F$1),DAY($F$1)+1)</f>
        <v>32357</v>
      </c>
      <c r="E8" s="15"/>
      <c r="F8" s="15"/>
      <c r="H8" s="7"/>
    </row>
    <row r="9" spans="1:8" x14ac:dyDescent="0.25">
      <c r="A9" s="3" t="s">
        <v>13</v>
      </c>
      <c r="B9" s="14">
        <v>15</v>
      </c>
      <c r="C9" s="14">
        <f>IF($E$3+B9&gt;$E$4,$E$4,$E$3+B9)</f>
        <v>48</v>
      </c>
      <c r="D9" s="31">
        <f xml:space="preserve"> DATE(YEAR($F$1) - C9,MONTH($F$1),DAY($F$1)+1)</f>
        <v>28704</v>
      </c>
      <c r="E9" s="15"/>
      <c r="F9" s="15"/>
    </row>
    <row r="10" spans="1:8" x14ac:dyDescent="0.25">
      <c r="A10" s="3" t="s">
        <v>33</v>
      </c>
      <c r="B10" s="14">
        <v>10</v>
      </c>
      <c r="C10" s="14">
        <f>IF($E$3+B10&gt;$E$4,$E$4,$E$3+B10)</f>
        <v>43</v>
      </c>
      <c r="D10" s="31">
        <f xml:space="preserve"> DATE(YEAR($F$1) - C10,MONTH($F$1),DAY($F$1)+1)</f>
        <v>30530</v>
      </c>
      <c r="E10" s="15"/>
      <c r="F10" s="15"/>
    </row>
    <row r="11" spans="1:8" s="15" customFormat="1" ht="30" x14ac:dyDescent="0.25">
      <c r="A11" s="16" t="s">
        <v>15</v>
      </c>
      <c r="B11" s="22" t="s">
        <v>21</v>
      </c>
      <c r="C11" s="14">
        <v>55</v>
      </c>
      <c r="D11" s="31">
        <f xml:space="preserve"> DATE(YEAR($F$1) - C11,MONTH($F$1),DAY($F$1)+1)</f>
        <v>26147</v>
      </c>
    </row>
  </sheetData>
  <mergeCells count="4">
    <mergeCell ref="C1:D1"/>
    <mergeCell ref="C2:D2"/>
    <mergeCell ref="C3:D3"/>
    <mergeCell ref="A6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sqref="A1:XFD1"/>
    </sheetView>
  </sheetViews>
  <sheetFormatPr defaultRowHeight="15" x14ac:dyDescent="0.25"/>
  <cols>
    <col min="1" max="1" width="37.140625" style="1" bestFit="1" customWidth="1"/>
    <col min="2" max="5" width="10" style="1" customWidth="1"/>
    <col min="6" max="6" width="9.7109375" style="1" customWidth="1"/>
    <col min="7" max="8" width="9.140625" style="1" customWidth="1"/>
    <col min="9" max="9" width="10.140625" style="1" bestFit="1" customWidth="1"/>
    <col min="10" max="13" width="11.140625" style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ht="28.5" x14ac:dyDescent="0.25">
      <c r="A2" s="34" t="s">
        <v>43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15.75" thickBot="1" x14ac:dyDescent="0.3">
      <c r="A3" s="34" t="s">
        <v>44</v>
      </c>
      <c r="B3" s="9"/>
      <c r="F3" s="44" t="s">
        <v>2</v>
      </c>
      <c r="G3" s="45"/>
      <c r="H3" s="13">
        <v>27</v>
      </c>
      <c r="I3" s="30">
        <f xml:space="preserve"> DATE(YEAR($I$1) - H3,MONTH($I$1),DAY($I$1)+1)</f>
        <v>36374</v>
      </c>
    </row>
    <row r="4" spans="1:15" ht="15.75" x14ac:dyDescent="0.25">
      <c r="A4" s="35" t="s">
        <v>45</v>
      </c>
      <c r="B4" s="9"/>
      <c r="F4" s="6" t="s">
        <v>5</v>
      </c>
      <c r="G4" s="6"/>
      <c r="H4" s="6">
        <v>60</v>
      </c>
      <c r="I4" s="6">
        <f xml:space="preserve"> DATE(YEAR($I$1) - H4,MONTH($I$1),DAY($I$1)+1)</f>
        <v>24321</v>
      </c>
    </row>
    <row r="5" spans="1:15" x14ac:dyDescent="0.25">
      <c r="A5" s="34" t="s">
        <v>46</v>
      </c>
      <c r="B5" s="9"/>
    </row>
    <row r="6" spans="1:15" ht="15.75" x14ac:dyDescent="0.25">
      <c r="A6" s="35" t="s">
        <v>27</v>
      </c>
      <c r="B6" s="9"/>
    </row>
    <row r="7" spans="1:15" ht="15.75" x14ac:dyDescent="0.25">
      <c r="A7" s="35" t="s">
        <v>47</v>
      </c>
      <c r="B7" s="9"/>
    </row>
    <row r="8" spans="1:15" ht="15.75" x14ac:dyDescent="0.25">
      <c r="A8" s="35"/>
      <c r="B8" s="9"/>
    </row>
    <row r="9" spans="1:15" ht="15" customHeight="1" x14ac:dyDescent="0.25">
      <c r="A9" s="46" t="s">
        <v>6</v>
      </c>
      <c r="B9" s="47" t="s">
        <v>7</v>
      </c>
      <c r="C9" s="47"/>
      <c r="D9" s="47"/>
      <c r="E9" s="47"/>
      <c r="F9" s="48" t="s">
        <v>8</v>
      </c>
      <c r="G9" s="48"/>
      <c r="H9" s="48"/>
      <c r="I9" s="48"/>
      <c r="J9" s="37" t="s">
        <v>9</v>
      </c>
      <c r="K9" s="38"/>
      <c r="L9" s="38"/>
      <c r="M9" s="39"/>
    </row>
    <row r="10" spans="1:15" x14ac:dyDescent="0.25">
      <c r="A10" s="46"/>
      <c r="B10" s="4" t="s">
        <v>14</v>
      </c>
      <c r="C10" s="4" t="s">
        <v>3</v>
      </c>
      <c r="D10" s="4" t="s">
        <v>11</v>
      </c>
      <c r="E10" s="4" t="s">
        <v>12</v>
      </c>
      <c r="F10" s="5" t="s">
        <v>14</v>
      </c>
      <c r="G10" s="5" t="s">
        <v>3</v>
      </c>
      <c r="H10" s="5" t="s">
        <v>11</v>
      </c>
      <c r="I10" s="5" t="s">
        <v>12</v>
      </c>
      <c r="J10" s="4" t="s">
        <v>14</v>
      </c>
      <c r="K10" s="4" t="s">
        <v>3</v>
      </c>
      <c r="L10" s="4" t="s">
        <v>11</v>
      </c>
      <c r="M10" s="4" t="s">
        <v>12</v>
      </c>
    </row>
    <row r="11" spans="1:15" x14ac:dyDescent="0.25">
      <c r="A11" s="3" t="s">
        <v>10</v>
      </c>
      <c r="B11" s="14">
        <v>0</v>
      </c>
      <c r="C11" s="14">
        <v>0</v>
      </c>
      <c r="D11" s="14">
        <v>0</v>
      </c>
      <c r="E11" s="14">
        <v>0</v>
      </c>
      <c r="F11" s="14">
        <f t="shared" ref="F11:I13" si="0">IF($H$3+B11&gt;$H$4,$H$4,$H$3+B11)</f>
        <v>27</v>
      </c>
      <c r="G11" s="14">
        <f t="shared" si="0"/>
        <v>27</v>
      </c>
      <c r="H11" s="14">
        <f t="shared" si="0"/>
        <v>27</v>
      </c>
      <c r="I11" s="14">
        <f t="shared" si="0"/>
        <v>27</v>
      </c>
      <c r="J11" s="31">
        <f xml:space="preserve"> DATE(YEAR($I$1) - F11,MONTH($I$1),DAY($I$1)+1)</f>
        <v>36374</v>
      </c>
      <c r="K11" s="31">
        <f t="shared" ref="K11:M14" si="1" xml:space="preserve"> DATE(YEAR($I$1) - G11,MONTH($I$1),DAY($I$1)+1)</f>
        <v>36374</v>
      </c>
      <c r="L11" s="31">
        <f t="shared" si="1"/>
        <v>36374</v>
      </c>
      <c r="M11" s="31">
        <f t="shared" si="1"/>
        <v>36374</v>
      </c>
      <c r="O11" s="7"/>
    </row>
    <row r="12" spans="1:15" x14ac:dyDescent="0.25">
      <c r="A12" s="3" t="s">
        <v>13</v>
      </c>
      <c r="B12" s="14">
        <v>10</v>
      </c>
      <c r="C12" s="14">
        <v>10</v>
      </c>
      <c r="D12" s="14">
        <v>10</v>
      </c>
      <c r="E12" s="14">
        <v>10</v>
      </c>
      <c r="F12" s="14">
        <f t="shared" si="0"/>
        <v>37</v>
      </c>
      <c r="G12" s="14">
        <f t="shared" si="0"/>
        <v>37</v>
      </c>
      <c r="H12" s="14">
        <f t="shared" si="0"/>
        <v>37</v>
      </c>
      <c r="I12" s="14">
        <f t="shared" si="0"/>
        <v>37</v>
      </c>
      <c r="J12" s="31">
        <f t="shared" ref="J12:J14" si="2" xml:space="preserve"> DATE(YEAR($I$1) - F12,MONTH($I$1),DAY($I$1)+1)</f>
        <v>32722</v>
      </c>
      <c r="K12" s="31">
        <f t="shared" si="1"/>
        <v>32722</v>
      </c>
      <c r="L12" s="31">
        <f t="shared" si="1"/>
        <v>32722</v>
      </c>
      <c r="M12" s="31">
        <f t="shared" si="1"/>
        <v>32722</v>
      </c>
    </row>
    <row r="13" spans="1:15" x14ac:dyDescent="0.25">
      <c r="A13" s="3" t="s">
        <v>33</v>
      </c>
      <c r="B13" s="14">
        <v>5</v>
      </c>
      <c r="C13" s="14">
        <v>5</v>
      </c>
      <c r="D13" s="14">
        <v>5</v>
      </c>
      <c r="E13" s="14">
        <v>5</v>
      </c>
      <c r="F13" s="14">
        <f t="shared" si="0"/>
        <v>32</v>
      </c>
      <c r="G13" s="14">
        <f t="shared" si="0"/>
        <v>32</v>
      </c>
      <c r="H13" s="14">
        <f t="shared" si="0"/>
        <v>32</v>
      </c>
      <c r="I13" s="14">
        <f t="shared" si="0"/>
        <v>32</v>
      </c>
      <c r="J13" s="31">
        <f t="shared" si="2"/>
        <v>34548</v>
      </c>
      <c r="K13" s="31">
        <f t="shared" si="1"/>
        <v>34548</v>
      </c>
      <c r="L13" s="31">
        <f t="shared" si="1"/>
        <v>34548</v>
      </c>
      <c r="M13" s="31">
        <f t="shared" si="1"/>
        <v>34548</v>
      </c>
    </row>
    <row r="14" spans="1:15" s="15" customFormat="1" ht="30" x14ac:dyDescent="0.25">
      <c r="A14" s="16" t="s">
        <v>15</v>
      </c>
      <c r="B14" s="22" t="s">
        <v>19</v>
      </c>
      <c r="C14" s="22" t="s">
        <v>19</v>
      </c>
      <c r="D14" s="22" t="s">
        <v>19</v>
      </c>
      <c r="E14" s="22" t="s">
        <v>19</v>
      </c>
      <c r="F14" s="14">
        <v>55</v>
      </c>
      <c r="G14" s="14">
        <v>55</v>
      </c>
      <c r="H14" s="14">
        <v>55</v>
      </c>
      <c r="I14" s="14">
        <v>55</v>
      </c>
      <c r="J14" s="31">
        <f t="shared" si="2"/>
        <v>26147</v>
      </c>
      <c r="K14" s="31">
        <f t="shared" si="1"/>
        <v>26147</v>
      </c>
      <c r="L14" s="31">
        <f t="shared" si="1"/>
        <v>26147</v>
      </c>
      <c r="M14" s="31">
        <f t="shared" si="1"/>
        <v>26147</v>
      </c>
    </row>
  </sheetData>
  <mergeCells count="7">
    <mergeCell ref="J9:M9"/>
    <mergeCell ref="F1:G1"/>
    <mergeCell ref="F2:G2"/>
    <mergeCell ref="F3:G3"/>
    <mergeCell ref="A9:A10"/>
    <mergeCell ref="B9:E9"/>
    <mergeCell ref="F9:I9"/>
  </mergeCells>
  <pageMargins left="0.17" right="0.17" top="0.28999999999999998" bottom="0.28999999999999998" header="0.3" footer="0.3"/>
  <pageSetup paperSize="9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H25" sqref="H25"/>
    </sheetView>
  </sheetViews>
  <sheetFormatPr defaultRowHeight="15" x14ac:dyDescent="0.25"/>
  <cols>
    <col min="1" max="1" width="33.5703125" style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ht="28.5" x14ac:dyDescent="0.25">
      <c r="A2" s="34" t="s">
        <v>48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29.25" thickBot="1" x14ac:dyDescent="0.3">
      <c r="A3" s="34" t="s">
        <v>49</v>
      </c>
      <c r="B3" s="9"/>
      <c r="C3" s="44" t="s">
        <v>2</v>
      </c>
      <c r="D3" s="45"/>
      <c r="E3" s="13">
        <v>27</v>
      </c>
      <c r="F3" s="30">
        <f xml:space="preserve"> DATE(YEAR($F$1) - E3,MONTH($F$1),DAY($F$1)+1)</f>
        <v>36374</v>
      </c>
    </row>
    <row r="4" spans="1:8" ht="15.75" x14ac:dyDescent="0.25">
      <c r="A4" s="35" t="s">
        <v>26</v>
      </c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ht="28.5" x14ac:dyDescent="0.25">
      <c r="A5" s="34" t="s">
        <v>50</v>
      </c>
      <c r="B5" s="10"/>
    </row>
    <row r="6" spans="1:8" x14ac:dyDescent="0.25">
      <c r="A6" s="34" t="s">
        <v>22</v>
      </c>
      <c r="B6" s="10"/>
    </row>
    <row r="7" spans="1:8" x14ac:dyDescent="0.25">
      <c r="A7" s="34"/>
      <c r="B7" s="10"/>
    </row>
    <row r="8" spans="1:8" ht="15" customHeight="1" x14ac:dyDescent="0.25">
      <c r="A8" s="46" t="s">
        <v>6</v>
      </c>
      <c r="B8" s="23" t="s">
        <v>7</v>
      </c>
      <c r="C8" s="24" t="s">
        <v>8</v>
      </c>
      <c r="D8" s="25" t="s">
        <v>9</v>
      </c>
      <c r="E8" s="15"/>
      <c r="F8" s="15"/>
    </row>
    <row r="9" spans="1:8" x14ac:dyDescent="0.25">
      <c r="A9" s="46"/>
      <c r="B9" s="26" t="s">
        <v>3</v>
      </c>
      <c r="C9" s="27" t="s">
        <v>3</v>
      </c>
      <c r="D9" s="26" t="s">
        <v>3</v>
      </c>
      <c r="E9" s="15"/>
      <c r="F9" s="15"/>
    </row>
    <row r="10" spans="1:8" x14ac:dyDescent="0.25">
      <c r="A10" s="3" t="s">
        <v>10</v>
      </c>
      <c r="B10" s="14">
        <v>3</v>
      </c>
      <c r="C10" s="14">
        <f>IF($E$3+B10&gt;$E$4,$E$4,$E$3+B10)</f>
        <v>30</v>
      </c>
      <c r="D10" s="31">
        <f xml:space="preserve"> DATE(YEAR($F$1) - C10,MONTH($F$1),DAY($F$1)+1)</f>
        <v>35279</v>
      </c>
      <c r="E10" s="15"/>
      <c r="F10" s="15"/>
      <c r="H10" s="7"/>
    </row>
    <row r="11" spans="1:8" x14ac:dyDescent="0.25">
      <c r="A11" s="3" t="s">
        <v>13</v>
      </c>
      <c r="B11" s="14">
        <v>13</v>
      </c>
      <c r="C11" s="14">
        <f>IF($E$3+B11&gt;$E$4,$E$4,$E$3+B11)</f>
        <v>40</v>
      </c>
      <c r="D11" s="31">
        <f xml:space="preserve"> DATE(YEAR($F$1) - C11,MONTH($F$1),DAY($F$1)+1)</f>
        <v>31626</v>
      </c>
      <c r="E11" s="15"/>
      <c r="F11" s="15"/>
    </row>
    <row r="12" spans="1:8" x14ac:dyDescent="0.25">
      <c r="A12" s="3" t="s">
        <v>33</v>
      </c>
      <c r="B12" s="14">
        <v>8</v>
      </c>
      <c r="C12" s="14">
        <f>IF($E$3+B12&gt;$E$4,$E$4,$E$3+B12)</f>
        <v>35</v>
      </c>
      <c r="D12" s="31">
        <f xml:space="preserve"> DATE(YEAR($F$1) - C12,MONTH($F$1),DAY($F$1)+1)</f>
        <v>33452</v>
      </c>
      <c r="E12" s="15"/>
      <c r="F12" s="15"/>
    </row>
    <row r="13" spans="1:8" s="15" customFormat="1" ht="30" x14ac:dyDescent="0.25">
      <c r="A13" s="16" t="s">
        <v>15</v>
      </c>
      <c r="B13" s="22" t="s">
        <v>20</v>
      </c>
      <c r="C13" s="14">
        <v>55</v>
      </c>
      <c r="D13" s="31">
        <f xml:space="preserve"> DATE(YEAR($F$1) - C13,MONTH($F$1),DAY($F$1)+1)</f>
        <v>26147</v>
      </c>
    </row>
  </sheetData>
  <mergeCells count="4">
    <mergeCell ref="C1:D1"/>
    <mergeCell ref="C2:D2"/>
    <mergeCell ref="C3:D3"/>
    <mergeCell ref="A8:A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I1" sqref="I1"/>
    </sheetView>
  </sheetViews>
  <sheetFormatPr defaultRowHeight="15" x14ac:dyDescent="0.25"/>
  <cols>
    <col min="1" max="1" width="33" style="1" customWidth="1"/>
    <col min="2" max="2" width="10.28515625" style="1" customWidth="1"/>
    <col min="3" max="3" width="10.140625" style="1" customWidth="1"/>
    <col min="4" max="5" width="10.28515625" style="1" customWidth="1"/>
    <col min="6" max="6" width="9.7109375" style="1" customWidth="1"/>
    <col min="7" max="7" width="9.140625" style="1" customWidth="1"/>
    <col min="8" max="8" width="7.5703125" style="1" customWidth="1"/>
    <col min="9" max="9" width="10.140625" style="1" bestFit="1" customWidth="1"/>
    <col min="10" max="13" width="9.5703125" style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ht="31.5" customHeight="1" x14ac:dyDescent="0.25">
      <c r="A2" s="49" t="s">
        <v>24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15.75" customHeight="1" thickBot="1" x14ac:dyDescent="0.3">
      <c r="A3" s="49"/>
      <c r="B3" s="9"/>
      <c r="F3" s="44" t="s">
        <v>2</v>
      </c>
      <c r="G3" s="45"/>
      <c r="H3" s="13">
        <v>27</v>
      </c>
      <c r="I3" s="30">
        <f xml:space="preserve"> DATE(YEAR($I$1) - H3,MONTH($I$1),DAY($I$1)+1)</f>
        <v>36374</v>
      </c>
    </row>
    <row r="4" spans="1:15" x14ac:dyDescent="0.25">
      <c r="B4" s="9"/>
      <c r="F4" s="21" t="s">
        <v>5</v>
      </c>
      <c r="G4" s="21"/>
      <c r="H4" s="21">
        <v>60</v>
      </c>
      <c r="I4" s="21">
        <f xml:space="preserve"> DATE(YEAR($I$1) - H4,MONTH($I$1),DAY($I$1)+1)</f>
        <v>24321</v>
      </c>
    </row>
    <row r="5" spans="1:15" x14ac:dyDescent="0.25">
      <c r="B5" s="9"/>
      <c r="H5" s="19"/>
      <c r="I5" s="20"/>
    </row>
    <row r="6" spans="1:15" x14ac:dyDescent="0.25">
      <c r="B6" s="9"/>
    </row>
    <row r="7" spans="1:15" ht="15" customHeight="1" x14ac:dyDescent="0.25">
      <c r="A7" s="46" t="s">
        <v>6</v>
      </c>
      <c r="B7" s="47" t="s">
        <v>7</v>
      </c>
      <c r="C7" s="47"/>
      <c r="D7" s="47"/>
      <c r="E7" s="47"/>
      <c r="F7" s="48" t="s">
        <v>8</v>
      </c>
      <c r="G7" s="48"/>
      <c r="H7" s="48"/>
      <c r="I7" s="48"/>
      <c r="J7" s="37" t="s">
        <v>9</v>
      </c>
      <c r="K7" s="38"/>
      <c r="L7" s="38"/>
      <c r="M7" s="39"/>
    </row>
    <row r="8" spans="1:15" x14ac:dyDescent="0.25">
      <c r="A8" s="46"/>
      <c r="B8" s="4" t="s">
        <v>14</v>
      </c>
      <c r="C8" s="4" t="s">
        <v>3</v>
      </c>
      <c r="D8" s="4" t="s">
        <v>11</v>
      </c>
      <c r="E8" s="4" t="s">
        <v>12</v>
      </c>
      <c r="F8" s="5" t="s">
        <v>14</v>
      </c>
      <c r="G8" s="5" t="s">
        <v>3</v>
      </c>
      <c r="H8" s="5" t="s">
        <v>11</v>
      </c>
      <c r="I8" s="5" t="s">
        <v>12</v>
      </c>
      <c r="J8" s="4" t="s">
        <v>14</v>
      </c>
      <c r="K8" s="4" t="s">
        <v>3</v>
      </c>
      <c r="L8" s="4" t="s">
        <v>11</v>
      </c>
      <c r="M8" s="4" t="s">
        <v>12</v>
      </c>
    </row>
    <row r="9" spans="1:15" x14ac:dyDescent="0.25">
      <c r="A9" s="3" t="s">
        <v>10</v>
      </c>
      <c r="B9" s="14">
        <v>0</v>
      </c>
      <c r="C9" s="14">
        <v>0</v>
      </c>
      <c r="D9" s="14">
        <v>5</v>
      </c>
      <c r="E9" s="14">
        <v>0</v>
      </c>
      <c r="F9" s="14">
        <f t="shared" ref="F9:I11" si="0">IF($H$3+B9&gt;$H$4,$H$4,$H$3+B9)</f>
        <v>27</v>
      </c>
      <c r="G9" s="14">
        <f t="shared" si="0"/>
        <v>27</v>
      </c>
      <c r="H9" s="14">
        <f t="shared" si="0"/>
        <v>32</v>
      </c>
      <c r="I9" s="14">
        <f t="shared" si="0"/>
        <v>27</v>
      </c>
      <c r="J9" s="31">
        <f xml:space="preserve"> DATE(YEAR($I$1) - F9,MONTH($I$1),DAY($I$1)+1)</f>
        <v>36374</v>
      </c>
      <c r="K9" s="31">
        <f t="shared" ref="K9:M12" si="1" xml:space="preserve"> DATE(YEAR($I$1) - G9,MONTH($I$1),DAY($I$1)+1)</f>
        <v>36374</v>
      </c>
      <c r="L9" s="31">
        <f t="shared" si="1"/>
        <v>34548</v>
      </c>
      <c r="M9" s="31">
        <f t="shared" si="1"/>
        <v>36374</v>
      </c>
      <c r="O9" s="7"/>
    </row>
    <row r="10" spans="1:15" x14ac:dyDescent="0.25">
      <c r="A10" s="3" t="s">
        <v>13</v>
      </c>
      <c r="B10" s="14">
        <v>10</v>
      </c>
      <c r="C10" s="14">
        <v>10</v>
      </c>
      <c r="D10" s="14">
        <v>15</v>
      </c>
      <c r="E10" s="14">
        <v>10</v>
      </c>
      <c r="F10" s="14">
        <f t="shared" si="0"/>
        <v>37</v>
      </c>
      <c r="G10" s="14">
        <f t="shared" si="0"/>
        <v>37</v>
      </c>
      <c r="H10" s="14">
        <f t="shared" si="0"/>
        <v>42</v>
      </c>
      <c r="I10" s="14">
        <f t="shared" si="0"/>
        <v>37</v>
      </c>
      <c r="J10" s="31">
        <f t="shared" ref="J10:J12" si="2" xml:space="preserve"> DATE(YEAR($I$1) - F10,MONTH($I$1),DAY($I$1)+1)</f>
        <v>32722</v>
      </c>
      <c r="K10" s="31">
        <f t="shared" si="1"/>
        <v>32722</v>
      </c>
      <c r="L10" s="31">
        <f t="shared" si="1"/>
        <v>30896</v>
      </c>
      <c r="M10" s="31">
        <f t="shared" si="1"/>
        <v>32722</v>
      </c>
    </row>
    <row r="11" spans="1:15" ht="41.25" customHeight="1" x14ac:dyDescent="0.25">
      <c r="A11" s="3" t="s">
        <v>33</v>
      </c>
      <c r="B11" s="14">
        <v>5</v>
      </c>
      <c r="C11" s="14">
        <v>5</v>
      </c>
      <c r="D11" s="14">
        <v>10</v>
      </c>
      <c r="E11" s="14">
        <v>5</v>
      </c>
      <c r="F11" s="14">
        <f t="shared" si="0"/>
        <v>32</v>
      </c>
      <c r="G11" s="14">
        <f t="shared" si="0"/>
        <v>32</v>
      </c>
      <c r="H11" s="14">
        <f t="shared" si="0"/>
        <v>37</v>
      </c>
      <c r="I11" s="14">
        <f t="shared" si="0"/>
        <v>32</v>
      </c>
      <c r="J11" s="31">
        <f t="shared" si="2"/>
        <v>34548</v>
      </c>
      <c r="K11" s="31">
        <f t="shared" si="1"/>
        <v>34548</v>
      </c>
      <c r="L11" s="31">
        <f t="shared" si="1"/>
        <v>32722</v>
      </c>
      <c r="M11" s="31">
        <f t="shared" si="1"/>
        <v>34548</v>
      </c>
    </row>
    <row r="12" spans="1:15" s="15" customFormat="1" ht="30" x14ac:dyDescent="0.25">
      <c r="A12" s="16" t="s">
        <v>15</v>
      </c>
      <c r="B12" s="22" t="s">
        <v>19</v>
      </c>
      <c r="C12" s="22" t="s">
        <v>19</v>
      </c>
      <c r="D12" s="22" t="s">
        <v>21</v>
      </c>
      <c r="E12" s="22" t="s">
        <v>19</v>
      </c>
      <c r="F12" s="14">
        <v>55</v>
      </c>
      <c r="G12" s="14">
        <v>55</v>
      </c>
      <c r="H12" s="14">
        <v>55</v>
      </c>
      <c r="I12" s="14">
        <v>55</v>
      </c>
      <c r="J12" s="31">
        <f t="shared" si="2"/>
        <v>26147</v>
      </c>
      <c r="K12" s="31">
        <f t="shared" si="1"/>
        <v>26147</v>
      </c>
      <c r="L12" s="31">
        <f t="shared" si="1"/>
        <v>26147</v>
      </c>
      <c r="M12" s="31">
        <f t="shared" si="1"/>
        <v>26147</v>
      </c>
    </row>
  </sheetData>
  <mergeCells count="8">
    <mergeCell ref="J7:M7"/>
    <mergeCell ref="F1:G1"/>
    <mergeCell ref="F2:G2"/>
    <mergeCell ref="F3:G3"/>
    <mergeCell ref="A7:A8"/>
    <mergeCell ref="B7:E7"/>
    <mergeCell ref="F7:I7"/>
    <mergeCell ref="A2:A3"/>
  </mergeCells>
  <pageMargins left="0.25" right="0.17" top="0.28000000000000003" bottom="0.31" header="0.3" footer="0.3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11"/>
  <sheetViews>
    <sheetView workbookViewId="0">
      <selection activeCell="D11" sqref="D11"/>
    </sheetView>
  </sheetViews>
  <sheetFormatPr defaultRowHeight="15" x14ac:dyDescent="0.25"/>
  <cols>
    <col min="1" max="1" width="37.14062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50">
        <f xml:space="preserve"> DATE(2026,8,1)</f>
        <v>46235</v>
      </c>
      <c r="G1" s="2"/>
    </row>
    <row r="2" spans="1:8" x14ac:dyDescent="0.25">
      <c r="A2" s="34" t="s">
        <v>51</v>
      </c>
      <c r="B2" s="8"/>
      <c r="C2" s="42" t="s">
        <v>1</v>
      </c>
      <c r="D2" s="43"/>
      <c r="E2" s="12">
        <v>18</v>
      </c>
      <c r="F2" s="51">
        <f xml:space="preserve"> DATE(YEAR($F$1) - E2,MONTH($F$1),DAY($F$1))</f>
        <v>39661</v>
      </c>
    </row>
    <row r="3" spans="1:8" ht="15.75" thickBot="1" x14ac:dyDescent="0.3">
      <c r="B3" s="9"/>
      <c r="C3" s="44" t="s">
        <v>2</v>
      </c>
      <c r="D3" s="45"/>
      <c r="E3" s="13">
        <v>27</v>
      </c>
      <c r="F3" s="52">
        <f xml:space="preserve"> DATE(YEAR($F$1) - E3,MONTH($F$1),DAY($F$1)+1)</f>
        <v>36374</v>
      </c>
    </row>
    <row r="4" spans="1:8" x14ac:dyDescent="0.25"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x14ac:dyDescent="0.25">
      <c r="A5" s="10"/>
      <c r="B5" s="10"/>
    </row>
    <row r="6" spans="1:8" ht="15" customHeight="1" x14ac:dyDescent="0.25">
      <c r="A6" s="46" t="s">
        <v>6</v>
      </c>
      <c r="B6" s="23" t="s">
        <v>7</v>
      </c>
      <c r="C6" s="24" t="s">
        <v>8</v>
      </c>
      <c r="D6" s="25" t="s">
        <v>9</v>
      </c>
      <c r="E6" s="15"/>
      <c r="F6" s="15"/>
    </row>
    <row r="7" spans="1:8" x14ac:dyDescent="0.25">
      <c r="A7" s="46"/>
      <c r="B7" s="26" t="s">
        <v>23</v>
      </c>
      <c r="C7" s="27" t="s">
        <v>23</v>
      </c>
      <c r="D7" s="26" t="s">
        <v>23</v>
      </c>
      <c r="E7" s="15"/>
      <c r="F7" s="15"/>
    </row>
    <row r="8" spans="1:8" x14ac:dyDescent="0.25">
      <c r="A8" s="3" t="s">
        <v>10</v>
      </c>
      <c r="B8" s="14">
        <v>0</v>
      </c>
      <c r="C8" s="14">
        <f>IF($E$3+B8&gt;$E$4,$E$4,$E$3+B8)</f>
        <v>27</v>
      </c>
      <c r="D8" s="53">
        <f xml:space="preserve"> DATE(YEAR($F$1) - C8,MONTH($F$1),DAY($F$1)+1)</f>
        <v>36374</v>
      </c>
      <c r="E8" s="15"/>
      <c r="F8" s="15"/>
      <c r="H8" s="7"/>
    </row>
    <row r="9" spans="1:8" x14ac:dyDescent="0.25">
      <c r="A9" s="3" t="s">
        <v>13</v>
      </c>
      <c r="B9" s="14">
        <v>10</v>
      </c>
      <c r="C9" s="14">
        <f>IF($E$3+B9&gt;$E$4,$E$4,$E$3+B9)</f>
        <v>37</v>
      </c>
      <c r="D9" s="53">
        <f xml:space="preserve"> DATE(YEAR($F$1) - C9,MONTH($F$1),DAY($F$1)+1)</f>
        <v>32722</v>
      </c>
      <c r="E9" s="15"/>
      <c r="F9" s="15"/>
    </row>
    <row r="10" spans="1:8" x14ac:dyDescent="0.25">
      <c r="A10" s="3" t="s">
        <v>33</v>
      </c>
      <c r="B10" s="14">
        <v>5</v>
      </c>
      <c r="C10" s="14">
        <f>IF($E$3+B10&gt;$E$4,$E$4,$E$3+B10)</f>
        <v>32</v>
      </c>
      <c r="D10" s="53">
        <f xml:space="preserve"> DATE(YEAR($F$1) - C10,MONTH($F$1),DAY($F$1)+1)</f>
        <v>34548</v>
      </c>
      <c r="E10" s="15"/>
      <c r="F10" s="15"/>
    </row>
    <row r="11" spans="1:8" s="15" customFormat="1" ht="30" x14ac:dyDescent="0.25">
      <c r="A11" s="16" t="s">
        <v>15</v>
      </c>
      <c r="B11" s="22" t="s">
        <v>19</v>
      </c>
      <c r="C11" s="14">
        <v>55</v>
      </c>
      <c r="D11" s="53">
        <f xml:space="preserve"> DATE(YEAR($F$1) - C11,MONTH($F$1),DAY($F$1)+1)</f>
        <v>26147</v>
      </c>
    </row>
  </sheetData>
  <mergeCells count="4">
    <mergeCell ref="C1:D1"/>
    <mergeCell ref="C2:D2"/>
    <mergeCell ref="C3:D3"/>
    <mergeCell ref="A6:A7"/>
  </mergeCells>
  <pageMargins left="0.17" right="0.17" top="0.39" bottom="0.32" header="0.3" footer="0.3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E19" sqref="E19"/>
    </sheetView>
  </sheetViews>
  <sheetFormatPr defaultRowHeight="15" x14ac:dyDescent="0.25"/>
  <cols>
    <col min="1" max="1" width="37.140625" style="1" bestFit="1" customWidth="1"/>
    <col min="2" max="2" width="15.28515625" style="1" bestFit="1" customWidth="1"/>
    <col min="3" max="3" width="15.140625" style="1" customWidth="1"/>
    <col min="4" max="4" width="37.7109375" style="1" customWidth="1"/>
    <col min="5" max="5" width="9.140625" style="1" customWidth="1"/>
    <col min="6" max="6" width="10.140625" style="1" bestFit="1" customWidth="1"/>
    <col min="7" max="7" width="8.7109375" style="1" bestFit="1" customWidth="1"/>
    <col min="8" max="16384" width="9.140625" style="1"/>
  </cols>
  <sheetData>
    <row r="1" spans="1:8" x14ac:dyDescent="0.25">
      <c r="A1" s="18" t="s">
        <v>4</v>
      </c>
      <c r="B1" s="9"/>
      <c r="C1" s="40" t="s">
        <v>0</v>
      </c>
      <c r="D1" s="41"/>
      <c r="E1" s="11"/>
      <c r="F1" s="28">
        <f xml:space="preserve"> DATE(2026,8,1)</f>
        <v>46235</v>
      </c>
      <c r="G1" s="2"/>
    </row>
    <row r="2" spans="1:8" x14ac:dyDescent="0.25">
      <c r="A2" s="34" t="s">
        <v>25</v>
      </c>
      <c r="B2" s="8"/>
      <c r="C2" s="42" t="s">
        <v>1</v>
      </c>
      <c r="D2" s="43"/>
      <c r="E2" s="12">
        <v>18</v>
      </c>
      <c r="F2" s="29">
        <f xml:space="preserve"> DATE(YEAR($F$1) - E2,MONTH($F$1),DAY($F$1))</f>
        <v>39661</v>
      </c>
    </row>
    <row r="3" spans="1:8" ht="15.75" thickBot="1" x14ac:dyDescent="0.3">
      <c r="A3" s="34"/>
      <c r="B3" s="9"/>
      <c r="C3" s="44" t="s">
        <v>2</v>
      </c>
      <c r="D3" s="45"/>
      <c r="E3" s="13">
        <v>27</v>
      </c>
      <c r="F3" s="30">
        <f xml:space="preserve"> DATE(YEAR($F$1) - E3,MONTH($F$1),DAY($F$1)+1)</f>
        <v>36374</v>
      </c>
    </row>
    <row r="4" spans="1:8" x14ac:dyDescent="0.25">
      <c r="B4" s="9"/>
      <c r="C4" s="6" t="s">
        <v>5</v>
      </c>
      <c r="D4" s="6"/>
      <c r="E4" s="6">
        <v>60</v>
      </c>
      <c r="F4" s="6">
        <f xml:space="preserve"> DATE(YEAR($F$1) - E4,MONTH($F$1),DAY($F$1)+1)</f>
        <v>24321</v>
      </c>
    </row>
    <row r="5" spans="1:8" x14ac:dyDescent="0.25">
      <c r="A5" s="10"/>
      <c r="B5" s="10"/>
    </row>
    <row r="6" spans="1:8" ht="15" customHeight="1" x14ac:dyDescent="0.25">
      <c r="A6" s="46" t="s">
        <v>6</v>
      </c>
      <c r="B6" s="23" t="s">
        <v>7</v>
      </c>
      <c r="C6" s="24" t="s">
        <v>8</v>
      </c>
      <c r="D6" s="25" t="s">
        <v>9</v>
      </c>
      <c r="E6" s="15"/>
      <c r="F6" s="15"/>
    </row>
    <row r="7" spans="1:8" x14ac:dyDescent="0.25">
      <c r="A7" s="46"/>
      <c r="B7" s="26" t="s">
        <v>11</v>
      </c>
      <c r="C7" s="27" t="s">
        <v>11</v>
      </c>
      <c r="D7" s="26" t="s">
        <v>11</v>
      </c>
      <c r="E7" s="15"/>
      <c r="F7" s="15"/>
    </row>
    <row r="8" spans="1:8" x14ac:dyDescent="0.25">
      <c r="A8" s="3" t="s">
        <v>10</v>
      </c>
      <c r="B8" s="14">
        <v>5</v>
      </c>
      <c r="C8" s="14">
        <f>IF($E$3+B8&gt;$E$4,$E$4,$E$3+B8)</f>
        <v>32</v>
      </c>
      <c r="D8" s="31">
        <f xml:space="preserve"> DATE(YEAR($F$1) - C8,MONTH($F$1),DAY($F$1)+1)</f>
        <v>34548</v>
      </c>
      <c r="E8" s="15"/>
      <c r="F8" s="15"/>
      <c r="H8" s="7"/>
    </row>
    <row r="9" spans="1:8" x14ac:dyDescent="0.25">
      <c r="A9" s="3" t="s">
        <v>13</v>
      </c>
      <c r="B9" s="14">
        <v>15</v>
      </c>
      <c r="C9" s="14">
        <f>IF($E$3+B9&gt;$E$4,$E$4,$E$3+B9)</f>
        <v>42</v>
      </c>
      <c r="D9" s="31">
        <f xml:space="preserve"> DATE(YEAR($F$1) - C9,MONTH($F$1),DAY($F$1)+1)</f>
        <v>30896</v>
      </c>
      <c r="E9" s="15"/>
      <c r="F9" s="15"/>
    </row>
    <row r="10" spans="1:8" x14ac:dyDescent="0.25">
      <c r="A10" s="3" t="s">
        <v>33</v>
      </c>
      <c r="B10" s="14">
        <v>10</v>
      </c>
      <c r="C10" s="14">
        <f>IF($E$3+B10&gt;$E$4,$E$4,$E$3+B10)</f>
        <v>37</v>
      </c>
      <c r="D10" s="31">
        <f xml:space="preserve"> DATE(YEAR($F$1) - C10,MONTH($F$1),DAY($F$1)+1)</f>
        <v>32722</v>
      </c>
      <c r="E10" s="15"/>
      <c r="F10" s="15"/>
    </row>
    <row r="11" spans="1:8" s="15" customFormat="1" ht="30" x14ac:dyDescent="0.25">
      <c r="A11" s="16" t="s">
        <v>15</v>
      </c>
      <c r="B11" s="22" t="s">
        <v>21</v>
      </c>
      <c r="C11" s="14">
        <v>55</v>
      </c>
      <c r="D11" s="31">
        <f xml:space="preserve"> DATE(YEAR($F$1) - C11,MONTH($F$1),DAY($F$1)+1)</f>
        <v>26147</v>
      </c>
    </row>
  </sheetData>
  <mergeCells count="4">
    <mergeCell ref="C1:D1"/>
    <mergeCell ref="C2:D2"/>
    <mergeCell ref="C3:D3"/>
    <mergeCell ref="A6: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A10" sqref="A10"/>
    </sheetView>
  </sheetViews>
  <sheetFormatPr defaultRowHeight="15" x14ac:dyDescent="0.25"/>
  <cols>
    <col min="1" max="1" width="35.7109375" style="1" customWidth="1"/>
    <col min="2" max="5" width="10.5703125" style="1" customWidth="1"/>
    <col min="6" max="6" width="10.85546875" style="1" customWidth="1"/>
    <col min="7" max="8" width="9.140625" style="1" customWidth="1"/>
    <col min="9" max="9" width="10.140625" style="1" bestFit="1" customWidth="1"/>
    <col min="10" max="13" width="10.5703125" style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x14ac:dyDescent="0.25">
      <c r="A2" s="34" t="s">
        <v>52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15.75" thickBot="1" x14ac:dyDescent="0.3">
      <c r="A3" s="9"/>
      <c r="B3" s="9"/>
      <c r="F3" s="44" t="s">
        <v>2</v>
      </c>
      <c r="G3" s="45"/>
      <c r="H3" s="13">
        <v>27</v>
      </c>
      <c r="I3" s="30">
        <f xml:space="preserve"> DATE(YEAR($I$1) - H3,MONTH($I$1),DAY($I$1)+1)</f>
        <v>36374</v>
      </c>
    </row>
    <row r="4" spans="1:15" x14ac:dyDescent="0.25">
      <c r="B4" s="9"/>
      <c r="F4" s="6" t="s">
        <v>5</v>
      </c>
      <c r="G4" s="6"/>
      <c r="H4" s="6">
        <v>60</v>
      </c>
      <c r="I4" s="6">
        <f xml:space="preserve"> DATE(YEAR($I$1) - H4,MONTH($I$1),DAY($I$1)+1)</f>
        <v>24321</v>
      </c>
    </row>
    <row r="5" spans="1:15" x14ac:dyDescent="0.25">
      <c r="A5" s="10"/>
      <c r="B5" s="10"/>
    </row>
    <row r="6" spans="1:15" ht="15" customHeight="1" x14ac:dyDescent="0.25">
      <c r="A6" s="46" t="s">
        <v>6</v>
      </c>
      <c r="B6" s="47" t="s">
        <v>7</v>
      </c>
      <c r="C6" s="47"/>
      <c r="D6" s="47"/>
      <c r="E6" s="47"/>
      <c r="F6" s="48" t="s">
        <v>8</v>
      </c>
      <c r="G6" s="48"/>
      <c r="H6" s="48"/>
      <c r="I6" s="48"/>
      <c r="J6" s="37" t="s">
        <v>9</v>
      </c>
      <c r="K6" s="38"/>
      <c r="L6" s="38"/>
      <c r="M6" s="39"/>
    </row>
    <row r="7" spans="1:15" x14ac:dyDescent="0.25">
      <c r="A7" s="46"/>
      <c r="B7" s="4" t="s">
        <v>14</v>
      </c>
      <c r="C7" s="4" t="s">
        <v>3</v>
      </c>
      <c r="D7" s="4" t="s">
        <v>11</v>
      </c>
      <c r="E7" s="4" t="s">
        <v>12</v>
      </c>
      <c r="F7" s="5" t="s">
        <v>14</v>
      </c>
      <c r="G7" s="5" t="s">
        <v>3</v>
      </c>
      <c r="H7" s="5" t="s">
        <v>11</v>
      </c>
      <c r="I7" s="5" t="s">
        <v>12</v>
      </c>
      <c r="J7" s="4" t="s">
        <v>14</v>
      </c>
      <c r="K7" s="4" t="s">
        <v>3</v>
      </c>
      <c r="L7" s="4" t="s">
        <v>11</v>
      </c>
      <c r="M7" s="4" t="s">
        <v>12</v>
      </c>
    </row>
    <row r="8" spans="1:15" x14ac:dyDescent="0.25">
      <c r="A8" s="3" t="s">
        <v>10</v>
      </c>
      <c r="B8" s="14">
        <v>0</v>
      </c>
      <c r="C8" s="14">
        <v>0</v>
      </c>
      <c r="D8" s="14">
        <v>0</v>
      </c>
      <c r="E8" s="14">
        <v>5</v>
      </c>
      <c r="F8" s="14">
        <f t="shared" ref="F8:I10" si="0">IF($H$3+B8&gt;$H$4,$H$4,$H$3+B8)</f>
        <v>27</v>
      </c>
      <c r="G8" s="14">
        <f t="shared" si="0"/>
        <v>27</v>
      </c>
      <c r="H8" s="14">
        <f t="shared" si="0"/>
        <v>27</v>
      </c>
      <c r="I8" s="14">
        <f t="shared" si="0"/>
        <v>32</v>
      </c>
      <c r="J8" s="31">
        <f xml:space="preserve"> DATE(YEAR($I$1) - F8,MONTH($I$1),DAY($I$1)+1)</f>
        <v>36374</v>
      </c>
      <c r="K8" s="31">
        <f t="shared" ref="K8:M11" si="1" xml:space="preserve"> DATE(YEAR($I$1) - G8,MONTH($I$1),DAY($I$1)+1)</f>
        <v>36374</v>
      </c>
      <c r="L8" s="31">
        <f t="shared" si="1"/>
        <v>36374</v>
      </c>
      <c r="M8" s="31">
        <f t="shared" si="1"/>
        <v>34548</v>
      </c>
      <c r="O8" s="7"/>
    </row>
    <row r="9" spans="1:15" x14ac:dyDescent="0.25">
      <c r="A9" s="3" t="s">
        <v>13</v>
      </c>
      <c r="B9" s="14">
        <v>10</v>
      </c>
      <c r="C9" s="14">
        <v>10</v>
      </c>
      <c r="D9" s="14">
        <v>10</v>
      </c>
      <c r="E9" s="14">
        <v>15</v>
      </c>
      <c r="F9" s="14">
        <f t="shared" si="0"/>
        <v>37</v>
      </c>
      <c r="G9" s="14">
        <f t="shared" si="0"/>
        <v>37</v>
      </c>
      <c r="H9" s="14">
        <f t="shared" si="0"/>
        <v>37</v>
      </c>
      <c r="I9" s="14">
        <f t="shared" si="0"/>
        <v>42</v>
      </c>
      <c r="J9" s="31">
        <f t="shared" ref="J9:J11" si="2" xml:space="preserve"> DATE(YEAR($I$1) - F9,MONTH($I$1),DAY($I$1)+1)</f>
        <v>32722</v>
      </c>
      <c r="K9" s="31">
        <f t="shared" si="1"/>
        <v>32722</v>
      </c>
      <c r="L9" s="31">
        <f t="shared" si="1"/>
        <v>32722</v>
      </c>
      <c r="M9" s="31">
        <f t="shared" si="1"/>
        <v>30896</v>
      </c>
    </row>
    <row r="10" spans="1:15" x14ac:dyDescent="0.25">
      <c r="A10" s="3" t="s">
        <v>33</v>
      </c>
      <c r="B10" s="14">
        <v>5</v>
      </c>
      <c r="C10" s="14">
        <v>5</v>
      </c>
      <c r="D10" s="14">
        <v>5</v>
      </c>
      <c r="E10" s="14">
        <v>10</v>
      </c>
      <c r="F10" s="14">
        <f t="shared" si="0"/>
        <v>32</v>
      </c>
      <c r="G10" s="14">
        <f t="shared" si="0"/>
        <v>32</v>
      </c>
      <c r="H10" s="14">
        <f t="shared" si="0"/>
        <v>32</v>
      </c>
      <c r="I10" s="14">
        <f t="shared" si="0"/>
        <v>37</v>
      </c>
      <c r="J10" s="31">
        <f t="shared" si="2"/>
        <v>34548</v>
      </c>
      <c r="K10" s="31">
        <f t="shared" si="1"/>
        <v>34548</v>
      </c>
      <c r="L10" s="31">
        <f t="shared" si="1"/>
        <v>34548</v>
      </c>
      <c r="M10" s="31">
        <f t="shared" si="1"/>
        <v>32722</v>
      </c>
    </row>
    <row r="11" spans="1:15" s="15" customFormat="1" ht="30" x14ac:dyDescent="0.25">
      <c r="A11" s="16" t="s">
        <v>15</v>
      </c>
      <c r="B11" s="22" t="s">
        <v>19</v>
      </c>
      <c r="C11" s="22" t="s">
        <v>19</v>
      </c>
      <c r="D11" s="22" t="s">
        <v>19</v>
      </c>
      <c r="E11" s="22" t="s">
        <v>21</v>
      </c>
      <c r="F11" s="14">
        <v>55</v>
      </c>
      <c r="G11" s="14">
        <v>55</v>
      </c>
      <c r="H11" s="14">
        <v>55</v>
      </c>
      <c r="I11" s="14">
        <v>55</v>
      </c>
      <c r="J11" s="31">
        <f t="shared" si="2"/>
        <v>26147</v>
      </c>
      <c r="K11" s="31">
        <f t="shared" si="1"/>
        <v>26147</v>
      </c>
      <c r="L11" s="31">
        <f t="shared" si="1"/>
        <v>26147</v>
      </c>
      <c r="M11" s="31">
        <f t="shared" si="1"/>
        <v>26147</v>
      </c>
    </row>
  </sheetData>
  <mergeCells count="7">
    <mergeCell ref="J6:M6"/>
    <mergeCell ref="F1:G1"/>
    <mergeCell ref="F2:G2"/>
    <mergeCell ref="F3:G3"/>
    <mergeCell ref="A6:A7"/>
    <mergeCell ref="B6:E6"/>
    <mergeCell ref="F6:I6"/>
  </mergeCells>
  <pageMargins left="0.17" right="0.17" top="0.33" bottom="0.3" header="0.3" footer="0.3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N26" sqref="N26"/>
    </sheetView>
  </sheetViews>
  <sheetFormatPr defaultRowHeight="15" x14ac:dyDescent="0.25"/>
  <cols>
    <col min="1" max="1" width="37.140625" style="1" bestFit="1" customWidth="1"/>
    <col min="2" max="5" width="9.140625" style="1" customWidth="1"/>
    <col min="6" max="6" width="10.85546875" style="1" customWidth="1"/>
    <col min="7" max="8" width="9.140625" style="1" customWidth="1"/>
    <col min="9" max="9" width="10.140625" style="1" bestFit="1" customWidth="1"/>
    <col min="10" max="13" width="10" style="1" customWidth="1"/>
    <col min="14" max="16384" width="9.140625" style="1"/>
  </cols>
  <sheetData>
    <row r="1" spans="1:15" x14ac:dyDescent="0.25">
      <c r="A1" s="18" t="s">
        <v>4</v>
      </c>
      <c r="B1" s="9"/>
      <c r="F1" s="40" t="s">
        <v>0</v>
      </c>
      <c r="G1" s="41"/>
      <c r="H1" s="11"/>
      <c r="I1" s="28">
        <f xml:space="preserve"> DATE(2026,8,1)</f>
        <v>46235</v>
      </c>
      <c r="J1" s="2"/>
    </row>
    <row r="2" spans="1:15" x14ac:dyDescent="0.25">
      <c r="A2" s="34" t="s">
        <v>18</v>
      </c>
      <c r="B2" s="8"/>
      <c r="F2" s="42" t="s">
        <v>1</v>
      </c>
      <c r="G2" s="43"/>
      <c r="H2" s="12">
        <v>18</v>
      </c>
      <c r="I2" s="29">
        <f xml:space="preserve"> DATE(YEAR($I$1) - H2,MONTH($I$1),DAY($I$1))</f>
        <v>39661</v>
      </c>
    </row>
    <row r="3" spans="1:15" ht="16.5" thickBot="1" x14ac:dyDescent="0.3">
      <c r="A3" s="36"/>
      <c r="B3" s="9"/>
      <c r="F3" s="44" t="s">
        <v>2</v>
      </c>
      <c r="G3" s="45"/>
      <c r="H3" s="13">
        <v>33</v>
      </c>
      <c r="I3" s="30">
        <f xml:space="preserve"> DATE(YEAR($I$1) - H3,MONTH($I$1),DAY($I$1)+1)</f>
        <v>34183</v>
      </c>
    </row>
    <row r="4" spans="1:15" ht="15.75" x14ac:dyDescent="0.25">
      <c r="A4" s="36"/>
      <c r="B4" s="9"/>
      <c r="F4" s="6" t="s">
        <v>5</v>
      </c>
      <c r="G4" s="6"/>
      <c r="H4" s="6">
        <v>60</v>
      </c>
      <c r="I4" s="6">
        <f xml:space="preserve"> DATE(YEAR($I$1) - H4,MONTH($I$1),DAY($I$1)+1)</f>
        <v>24321</v>
      </c>
    </row>
    <row r="5" spans="1:15" x14ac:dyDescent="0.25">
      <c r="B5" s="9"/>
      <c r="F5" s="6"/>
      <c r="G5" s="6"/>
      <c r="H5" s="6"/>
      <c r="I5" s="6"/>
    </row>
    <row r="6" spans="1:15" ht="15" customHeight="1" x14ac:dyDescent="0.25">
      <c r="A6" s="46" t="s">
        <v>6</v>
      </c>
      <c r="B6" s="47" t="s">
        <v>7</v>
      </c>
      <c r="C6" s="47"/>
      <c r="D6" s="47"/>
      <c r="E6" s="47"/>
      <c r="F6" s="48" t="s">
        <v>8</v>
      </c>
      <c r="G6" s="48"/>
      <c r="H6" s="48"/>
      <c r="I6" s="48"/>
      <c r="J6" s="37" t="s">
        <v>9</v>
      </c>
      <c r="K6" s="38"/>
      <c r="L6" s="38"/>
      <c r="M6" s="39"/>
    </row>
    <row r="7" spans="1:15" x14ac:dyDescent="0.25">
      <c r="A7" s="46"/>
      <c r="B7" s="4" t="s">
        <v>14</v>
      </c>
      <c r="C7" s="4" t="s">
        <v>3</v>
      </c>
      <c r="D7" s="4" t="s">
        <v>11</v>
      </c>
      <c r="E7" s="4" t="s">
        <v>12</v>
      </c>
      <c r="F7" s="5" t="s">
        <v>14</v>
      </c>
      <c r="G7" s="5" t="s">
        <v>3</v>
      </c>
      <c r="H7" s="5" t="s">
        <v>11</v>
      </c>
      <c r="I7" s="5" t="s">
        <v>12</v>
      </c>
      <c r="J7" s="4" t="s">
        <v>14</v>
      </c>
      <c r="K7" s="4" t="s">
        <v>3</v>
      </c>
      <c r="L7" s="4" t="s">
        <v>11</v>
      </c>
      <c r="M7" s="4" t="s">
        <v>12</v>
      </c>
    </row>
    <row r="8" spans="1:15" x14ac:dyDescent="0.25">
      <c r="A8" s="3" t="s">
        <v>10</v>
      </c>
      <c r="B8" s="14">
        <v>0</v>
      </c>
      <c r="C8" s="14">
        <v>0</v>
      </c>
      <c r="D8" s="14">
        <v>0</v>
      </c>
      <c r="E8" s="14">
        <v>0</v>
      </c>
      <c r="F8" s="14">
        <f t="shared" ref="F8:I10" si="0">IF($H$3+B8&gt;$H$4,$H$4,$H$3+B8)</f>
        <v>33</v>
      </c>
      <c r="G8" s="14">
        <f t="shared" si="0"/>
        <v>33</v>
      </c>
      <c r="H8" s="14">
        <f t="shared" si="0"/>
        <v>33</v>
      </c>
      <c r="I8" s="14">
        <f t="shared" si="0"/>
        <v>33</v>
      </c>
      <c r="J8" s="31">
        <f xml:space="preserve"> DATE(YEAR($I$1) - F8,MONTH($I$1),DAY($I$1)+1)</f>
        <v>34183</v>
      </c>
      <c r="K8" s="31">
        <f t="shared" ref="K8:M11" si="1" xml:space="preserve"> DATE(YEAR($I$1) - G8,MONTH($I$1),DAY($I$1)+1)</f>
        <v>34183</v>
      </c>
      <c r="L8" s="31">
        <f t="shared" si="1"/>
        <v>34183</v>
      </c>
      <c r="M8" s="31">
        <f t="shared" si="1"/>
        <v>34183</v>
      </c>
      <c r="O8" s="7"/>
    </row>
    <row r="9" spans="1:15" x14ac:dyDescent="0.25">
      <c r="A9" s="3" t="s">
        <v>13</v>
      </c>
      <c r="B9" s="14">
        <v>10</v>
      </c>
      <c r="C9" s="14">
        <v>10</v>
      </c>
      <c r="D9" s="14">
        <v>10</v>
      </c>
      <c r="E9" s="14">
        <v>10</v>
      </c>
      <c r="F9" s="14">
        <f t="shared" si="0"/>
        <v>43</v>
      </c>
      <c r="G9" s="14">
        <f t="shared" si="0"/>
        <v>43</v>
      </c>
      <c r="H9" s="14">
        <f t="shared" si="0"/>
        <v>43</v>
      </c>
      <c r="I9" s="14">
        <f t="shared" si="0"/>
        <v>43</v>
      </c>
      <c r="J9" s="31">
        <f t="shared" ref="J9:J11" si="2" xml:space="preserve"> DATE(YEAR($I$1) - F9,MONTH($I$1),DAY($I$1)+1)</f>
        <v>30530</v>
      </c>
      <c r="K9" s="31">
        <f t="shared" si="1"/>
        <v>30530</v>
      </c>
      <c r="L9" s="31">
        <f t="shared" si="1"/>
        <v>30530</v>
      </c>
      <c r="M9" s="31">
        <f t="shared" si="1"/>
        <v>30530</v>
      </c>
    </row>
    <row r="10" spans="1:15" x14ac:dyDescent="0.25">
      <c r="A10" s="3" t="s">
        <v>33</v>
      </c>
      <c r="B10" s="14">
        <v>5</v>
      </c>
      <c r="C10" s="14">
        <v>5</v>
      </c>
      <c r="D10" s="14">
        <v>5</v>
      </c>
      <c r="E10" s="14">
        <v>5</v>
      </c>
      <c r="F10" s="14">
        <f t="shared" si="0"/>
        <v>38</v>
      </c>
      <c r="G10" s="14">
        <f t="shared" si="0"/>
        <v>38</v>
      </c>
      <c r="H10" s="14">
        <f t="shared" si="0"/>
        <v>38</v>
      </c>
      <c r="I10" s="14">
        <f t="shared" si="0"/>
        <v>38</v>
      </c>
      <c r="J10" s="31">
        <f t="shared" si="2"/>
        <v>32357</v>
      </c>
      <c r="K10" s="31">
        <f t="shared" si="1"/>
        <v>32357</v>
      </c>
      <c r="L10" s="31">
        <f t="shared" si="1"/>
        <v>32357</v>
      </c>
      <c r="M10" s="31">
        <f t="shared" si="1"/>
        <v>32357</v>
      </c>
    </row>
    <row r="11" spans="1:15" s="15" customFormat="1" ht="45" x14ac:dyDescent="0.25">
      <c r="A11" s="16" t="s">
        <v>15</v>
      </c>
      <c r="B11" s="22" t="s">
        <v>19</v>
      </c>
      <c r="C11" s="22" t="s">
        <v>19</v>
      </c>
      <c r="D11" s="22" t="s">
        <v>19</v>
      </c>
      <c r="E11" s="22" t="s">
        <v>19</v>
      </c>
      <c r="F11" s="14">
        <v>55</v>
      </c>
      <c r="G11" s="14">
        <v>55</v>
      </c>
      <c r="H11" s="14">
        <v>55</v>
      </c>
      <c r="I11" s="14">
        <v>55</v>
      </c>
      <c r="J11" s="31">
        <f t="shared" si="2"/>
        <v>26147</v>
      </c>
      <c r="K11" s="31">
        <f t="shared" si="1"/>
        <v>26147</v>
      </c>
      <c r="L11" s="31">
        <f t="shared" si="1"/>
        <v>26147</v>
      </c>
      <c r="M11" s="31">
        <f t="shared" si="1"/>
        <v>26147</v>
      </c>
    </row>
  </sheetData>
  <mergeCells count="7">
    <mergeCell ref="J6:M6"/>
    <mergeCell ref="F1:G1"/>
    <mergeCell ref="F2:G2"/>
    <mergeCell ref="F3:G3"/>
    <mergeCell ref="A6:A7"/>
    <mergeCell ref="B6:E6"/>
    <mergeCell ref="F6:I6"/>
  </mergeCells>
  <pageMargins left="0.17" right="0.17" top="0.35" bottom="0.25" header="0.3" footer="0.26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ST_EWS_UR_30</vt:lpstr>
      <vt:lpstr>UR_30</vt:lpstr>
      <vt:lpstr>OBC_30</vt:lpstr>
      <vt:lpstr>SC_30</vt:lpstr>
      <vt:lpstr>ST_30</vt:lpstr>
      <vt:lpstr>ST_33</vt:lpstr>
      <vt:lpstr>UR_27</vt:lpstr>
      <vt:lpstr>OBC_27</vt:lpstr>
      <vt:lpstr>SC_UR_27</vt:lpstr>
      <vt:lpstr>EWS_27</vt:lpstr>
      <vt:lpstr>SC_27</vt:lpstr>
      <vt:lpstr>ST_EWS_UR_27</vt:lpstr>
      <vt:lpstr>UR_33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Abhay.K</dc:creator>
  <cp:lastModifiedBy>GOURI KUYATE</cp:lastModifiedBy>
  <cp:lastPrinted>2026-01-05T05:55:48Z</cp:lastPrinted>
  <dcterms:created xsi:type="dcterms:W3CDTF">2012-03-22T06:18:28Z</dcterms:created>
  <dcterms:modified xsi:type="dcterms:W3CDTF">2026-07-08T08:25:54Z</dcterms:modified>
</cp:coreProperties>
</file>