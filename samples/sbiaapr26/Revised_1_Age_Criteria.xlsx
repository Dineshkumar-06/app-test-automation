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Online_Registration_Projects\2026-2027\SBI_APP\Vendor\"/>
    </mc:Choice>
  </mc:AlternateContent>
  <bookViews>
    <workbookView xWindow="0" yWindow="0" windowWidth="20490" windowHeight="7620" tabRatio="567"/>
  </bookViews>
  <sheets>
    <sheet name="Apprentices" sheetId="6" r:id="rId1"/>
  </sheets>
  <calcPr calcId="162913"/>
</workbook>
</file>

<file path=xl/calcChain.xml><?xml version="1.0" encoding="utf-8"?>
<calcChain xmlns="http://schemas.openxmlformats.org/spreadsheetml/2006/main">
  <c r="I1" i="6" l="1"/>
  <c r="I45" i="6" l="1"/>
  <c r="H45" i="6"/>
  <c r="F45" i="6"/>
  <c r="G45" i="6"/>
  <c r="I44" i="6"/>
  <c r="H44" i="6"/>
  <c r="G44" i="6"/>
  <c r="F44" i="6"/>
  <c r="J45" i="6" l="1"/>
  <c r="K45" i="6"/>
  <c r="L45" i="6"/>
  <c r="M45" i="6"/>
  <c r="J44" i="6" l="1"/>
  <c r="M44" i="6"/>
  <c r="L44" i="6"/>
  <c r="K44" i="6"/>
  <c r="H35" i="6"/>
  <c r="F35" i="6"/>
  <c r="I35" i="6"/>
  <c r="G35" i="6"/>
  <c r="I34" i="6"/>
  <c r="H34" i="6"/>
  <c r="G34" i="6"/>
  <c r="F34" i="6"/>
  <c r="F24" i="6"/>
  <c r="I24" i="6"/>
  <c r="H24" i="6"/>
  <c r="G24" i="6"/>
  <c r="I23" i="6"/>
  <c r="H23" i="6"/>
  <c r="G23" i="6"/>
  <c r="F23" i="6"/>
  <c r="L34" i="6" l="1"/>
  <c r="K34" i="6"/>
  <c r="M35" i="6"/>
  <c r="J35" i="6"/>
  <c r="M34" i="6"/>
  <c r="L35" i="6"/>
  <c r="J34" i="6"/>
  <c r="K35" i="6"/>
  <c r="M23" i="6"/>
  <c r="J24" i="6"/>
  <c r="L23" i="6"/>
  <c r="M24" i="6"/>
  <c r="K23" i="6"/>
  <c r="L24" i="6"/>
  <c r="J23" i="6"/>
  <c r="K24" i="6"/>
  <c r="F13" i="6"/>
  <c r="I13" i="6"/>
  <c r="H13" i="6"/>
  <c r="G13" i="6"/>
  <c r="I12" i="6"/>
  <c r="H12" i="6"/>
  <c r="G12" i="6"/>
  <c r="F12" i="6"/>
  <c r="I3" i="6" l="1"/>
  <c r="L12" i="6"/>
  <c r="M13" i="6"/>
  <c r="I2" i="6"/>
  <c r="K12" i="6"/>
  <c r="L13" i="6"/>
  <c r="J12" i="6"/>
  <c r="K13" i="6"/>
  <c r="I4" i="6"/>
  <c r="M12" i="6"/>
  <c r="J13" i="6"/>
</calcChain>
</file>

<file path=xl/sharedStrings.xml><?xml version="1.0" encoding="utf-8"?>
<sst xmlns="http://schemas.openxmlformats.org/spreadsheetml/2006/main" count="91" uniqueCount="26">
  <si>
    <t>Age as on</t>
  </si>
  <si>
    <t>Minimum years</t>
  </si>
  <si>
    <t>Maximum years</t>
  </si>
  <si>
    <t>OBC</t>
  </si>
  <si>
    <t>Post</t>
  </si>
  <si>
    <t>Maximum Relaxation Years</t>
  </si>
  <si>
    <t>Relaxation/Category</t>
  </si>
  <si>
    <t>Relaxation Years</t>
  </si>
  <si>
    <t>Maximum Years</t>
  </si>
  <si>
    <t>Maximum Relaxation Dates (Without Period)</t>
  </si>
  <si>
    <t>General</t>
  </si>
  <si>
    <t>SC</t>
  </si>
  <si>
    <t>ST</t>
  </si>
  <si>
    <t>PWD</t>
  </si>
  <si>
    <t>State</t>
  </si>
  <si>
    <t xml:space="preserve">Vacancy for all category  </t>
  </si>
  <si>
    <t>Engagement of Apprentices Under The Apprentices Act, 1961</t>
  </si>
  <si>
    <t xml:space="preserve"> </t>
  </si>
  <si>
    <t>UR/EWS</t>
  </si>
  <si>
    <t>Vacancy only for SC, OBC, EWS, UR</t>
  </si>
  <si>
    <t>Vacancy only for ST, EWS, UR</t>
  </si>
  <si>
    <t>Vacancy only for ST, OBC, EWS, UR</t>
  </si>
  <si>
    <t>Gujarat / Andhra Pradesh / Karnataka / Chhattisgarh / Madhya Pradesh / Odisha / UT Ladakh / Himachal Pradesh / UT Jammu &amp; Kashmir / Tamil Nadu / Tripura / Assam / Telangana / Rajasthan / West Bengal / Sikkim / Uttar Pradesh / Maharashtra / Uttarakhand / Delhi / Jharkhand / Keralam</t>
  </si>
  <si>
    <t>UT Chandigarh / Punjab / Haryana / UT Pondicherry / Bihar</t>
  </si>
  <si>
    <t>Arunachal Pradesh / Nagaland / Meghalaya / Manipur</t>
  </si>
  <si>
    <t>Mizoram / UT Andaman &amp; Nicobar Islands / 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</si>
</sst>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8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383336"/>
      <name val="ArialMT"/>
    </font>
    <font>
      <sz val="11"/>
      <color rgb="FF383336"/>
      <name val="ArialMT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/>
    <xf numFmtId="0" fontId="0" fillId="0" borderId="0" xfId="0"/>
    <xf numFmtId="0" fontId="1" fillId="3" borderId="1" xfId="0" applyFont="1" applyFill="1" applyBorder="1" applyAlignment="1">
      <alignment wrapText="1"/>
    </xf>
    <xf numFmtId="0" fontId="1" fillId="0" borderId="0" xfId="0" applyFont="1"/>
    <xf numFmtId="0" fontId="2" fillId="4" borderId="1" xfId="0" applyFont="1" applyFill="1" applyBorder="1"/>
    <xf numFmtId="0" fontId="0" fillId="4" borderId="1" xfId="0" applyFill="1" applyBorder="1" applyAlignment="1">
      <alignment wrapText="1"/>
    </xf>
    <xf numFmtId="0" fontId="2" fillId="6" borderId="1" xfId="0" applyFont="1" applyFill="1" applyBorder="1"/>
    <xf numFmtId="0" fontId="2" fillId="7" borderId="1" xfId="0" applyFont="1" applyFill="1" applyBorder="1"/>
    <xf numFmtId="1" fontId="0" fillId="0" borderId="1" xfId="0" applyNumberFormat="1" applyBorder="1"/>
    <xf numFmtId="0" fontId="1" fillId="0" borderId="0" xfId="0" applyFont="1" applyFill="1"/>
    <xf numFmtId="0" fontId="0" fillId="0" borderId="0" xfId="0" applyFill="1"/>
    <xf numFmtId="0" fontId="1" fillId="0" borderId="0" xfId="0" applyFont="1" applyFill="1" applyBorder="1" applyAlignment="1">
      <alignment wrapText="1"/>
    </xf>
    <xf numFmtId="49" fontId="2" fillId="0" borderId="0" xfId="0" applyNumberFormat="1" applyFont="1" applyFill="1" applyBorder="1" applyAlignment="1">
      <alignment wrapText="1"/>
    </xf>
    <xf numFmtId="0" fontId="5" fillId="0" borderId="0" xfId="0" applyFont="1" applyBorder="1" applyAlignment="1"/>
    <xf numFmtId="0" fontId="0" fillId="0" borderId="0" xfId="0" applyBorder="1"/>
    <xf numFmtId="0" fontId="6" fillId="0" borderId="0" xfId="0" applyFont="1" applyBorder="1" applyAlignment="1">
      <alignment vertical="center" wrapText="1"/>
    </xf>
    <xf numFmtId="0" fontId="2" fillId="7" borderId="1" xfId="0" applyFont="1" applyFill="1" applyBorder="1" applyAlignment="1">
      <alignment wrapText="1"/>
    </xf>
    <xf numFmtId="1" fontId="0" fillId="7" borderId="1" xfId="0" applyNumberFormat="1" applyFill="1" applyBorder="1"/>
    <xf numFmtId="1" fontId="0" fillId="0" borderId="1" xfId="0" applyNumberFormat="1" applyFill="1" applyBorder="1"/>
    <xf numFmtId="0" fontId="3" fillId="2" borderId="0" xfId="0" applyFont="1" applyFill="1" applyBorder="1"/>
    <xf numFmtId="164" fontId="4" fillId="2" borderId="0" xfId="0" applyNumberFormat="1" applyFont="1" applyFill="1" applyBorder="1"/>
    <xf numFmtId="0" fontId="4" fillId="2" borderId="0" xfId="0" applyFont="1" applyFill="1" applyBorder="1" applyAlignment="1">
      <alignment horizontal="right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0" xfId="0" applyFill="1" applyBorder="1"/>
    <xf numFmtId="0" fontId="0" fillId="0" borderId="11" xfId="0" applyFill="1" applyBorder="1"/>
    <xf numFmtId="0" fontId="2" fillId="0" borderId="1" xfId="0" applyFont="1" applyFill="1" applyBorder="1"/>
    <xf numFmtId="14" fontId="0" fillId="0" borderId="1" xfId="0" applyNumberFormat="1" applyFill="1" applyBorder="1"/>
    <xf numFmtId="164" fontId="2" fillId="0" borderId="1" xfId="0" applyNumberFormat="1" applyFont="1" applyFill="1" applyBorder="1"/>
    <xf numFmtId="164" fontId="2" fillId="0" borderId="6" xfId="0" applyNumberFormat="1" applyFont="1" applyFill="1" applyBorder="1"/>
    <xf numFmtId="1" fontId="0" fillId="8" borderId="1" xfId="0" applyNumberFormat="1" applyFill="1" applyBorder="1"/>
    <xf numFmtId="14" fontId="0" fillId="8" borderId="1" xfId="0" applyNumberFormat="1" applyFill="1" applyBorder="1"/>
    <xf numFmtId="0" fontId="5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/>
    </xf>
    <xf numFmtId="0" fontId="2" fillId="3" borderId="5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3" borderId="8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FFFF66"/>
      <color rgb="FFF6B5A8"/>
      <color rgb="FFFFFF99"/>
      <color rgb="FFFF33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47"/>
  <sheetViews>
    <sheetView tabSelected="1" topLeftCell="A34" workbookViewId="0">
      <selection activeCell="G50" sqref="G50"/>
    </sheetView>
  </sheetViews>
  <sheetFormatPr defaultRowHeight="15"/>
  <cols>
    <col min="1" max="1" width="31.7109375" customWidth="1"/>
    <col min="2" max="2" width="14" customWidth="1"/>
    <col min="4" max="4" width="9.85546875" customWidth="1"/>
    <col min="5" max="5" width="10.7109375" customWidth="1"/>
    <col min="6" max="6" width="12.5703125" customWidth="1"/>
    <col min="7" max="7" width="10.7109375" customWidth="1"/>
    <col min="9" max="9" width="10.140625" bestFit="1" customWidth="1"/>
    <col min="10" max="10" width="13.85546875" style="10" customWidth="1"/>
    <col min="11" max="11" width="10.42578125" style="10" customWidth="1"/>
    <col min="12" max="12" width="10.5703125" style="10" customWidth="1"/>
    <col min="13" max="13" width="10.7109375" style="10" bestFit="1" customWidth="1"/>
  </cols>
  <sheetData>
    <row r="1" spans="1:21">
      <c r="A1" s="2" t="s">
        <v>4</v>
      </c>
      <c r="B1" s="11"/>
      <c r="C1" s="3"/>
      <c r="D1" s="3"/>
      <c r="E1" s="3"/>
      <c r="F1" s="47" t="s">
        <v>0</v>
      </c>
      <c r="G1" s="48"/>
      <c r="H1" s="29"/>
      <c r="I1" s="31">
        <f xml:space="preserve"> DATE(2026,4,1)</f>
        <v>46113</v>
      </c>
      <c r="J1" s="9"/>
    </row>
    <row r="2" spans="1:21" ht="30">
      <c r="A2" s="5" t="s">
        <v>16</v>
      </c>
      <c r="B2" s="12"/>
      <c r="C2" s="1"/>
      <c r="D2" s="1"/>
      <c r="E2" s="1"/>
      <c r="F2" s="49" t="s">
        <v>1</v>
      </c>
      <c r="G2" s="50"/>
      <c r="H2" s="4">
        <v>20</v>
      </c>
      <c r="I2" s="32">
        <f xml:space="preserve"> DATE(YEAR($I$1) - H2,MONTH($I$1),DAY($I$1))</f>
        <v>38808</v>
      </c>
    </row>
    <row r="3" spans="1:21">
      <c r="A3" s="1"/>
      <c r="B3" s="1"/>
      <c r="C3" s="1"/>
      <c r="D3" s="1"/>
      <c r="E3" s="1"/>
      <c r="F3" s="51" t="s">
        <v>2</v>
      </c>
      <c r="G3" s="51"/>
      <c r="H3" s="4">
        <v>28</v>
      </c>
      <c r="I3" s="31">
        <f xml:space="preserve"> DATE(YEAR($I$1) - H3,MONTH($I$1),DAY($I$1)+1)</f>
        <v>35887</v>
      </c>
    </row>
    <row r="4" spans="1:21">
      <c r="A4" s="1"/>
      <c r="B4" s="1"/>
      <c r="C4" s="1"/>
      <c r="D4" s="1"/>
      <c r="E4" s="1"/>
      <c r="F4" s="52" t="s">
        <v>5</v>
      </c>
      <c r="G4" s="52"/>
      <c r="H4" s="19">
        <v>50</v>
      </c>
      <c r="I4" s="20">
        <f xml:space="preserve"> DATE(YEAR($I$1) - H4,MONTH($I$1),DAY($I$1)+1)</f>
        <v>27852</v>
      </c>
    </row>
    <row r="5" spans="1:21" s="1" customFormat="1">
      <c r="F5" s="21"/>
      <c r="G5" s="21"/>
      <c r="H5" s="19"/>
      <c r="I5" s="20"/>
      <c r="J5" s="10"/>
      <c r="K5" s="10"/>
      <c r="L5" s="10"/>
      <c r="M5" s="10"/>
    </row>
    <row r="6" spans="1:21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13"/>
      <c r="O6" s="13"/>
      <c r="P6" s="13"/>
      <c r="Q6" s="13"/>
      <c r="R6" s="13"/>
      <c r="S6" s="13"/>
      <c r="T6" s="13"/>
      <c r="U6" s="14"/>
    </row>
    <row r="7" spans="1:21">
      <c r="A7" s="53" t="s">
        <v>14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13"/>
      <c r="O7" s="13"/>
      <c r="P7" s="13"/>
      <c r="Q7" s="13"/>
      <c r="R7" s="13"/>
      <c r="S7" s="13"/>
      <c r="T7" s="13"/>
      <c r="U7" s="14"/>
    </row>
    <row r="8" spans="1:21" ht="45" customHeight="1">
      <c r="A8" s="54" t="s">
        <v>22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6"/>
      <c r="N8" s="15"/>
      <c r="O8" s="15"/>
      <c r="P8" s="15"/>
      <c r="Q8" s="15"/>
      <c r="R8" s="15"/>
      <c r="S8" s="15"/>
      <c r="T8" s="15"/>
      <c r="U8" s="14"/>
    </row>
    <row r="9" spans="1:21">
      <c r="A9" s="25"/>
      <c r="B9" s="26"/>
      <c r="C9" s="26"/>
      <c r="D9" s="26"/>
      <c r="E9" s="26"/>
      <c r="F9" s="26"/>
      <c r="G9" s="26"/>
      <c r="H9" s="26"/>
      <c r="I9" s="26"/>
      <c r="J9" s="27"/>
      <c r="K9" s="27"/>
      <c r="L9" s="27"/>
      <c r="M9" s="28"/>
    </row>
    <row r="10" spans="1:21">
      <c r="A10" s="40" t="s">
        <v>6</v>
      </c>
      <c r="B10" s="44" t="s">
        <v>7</v>
      </c>
      <c r="C10" s="44"/>
      <c r="D10" s="44"/>
      <c r="E10" s="44"/>
      <c r="F10" s="45" t="s">
        <v>8</v>
      </c>
      <c r="G10" s="45"/>
      <c r="H10" s="45"/>
      <c r="I10" s="45"/>
      <c r="J10" s="45" t="s">
        <v>9</v>
      </c>
      <c r="K10" s="45"/>
      <c r="L10" s="45"/>
      <c r="M10" s="45"/>
    </row>
    <row r="11" spans="1:21">
      <c r="A11" s="41"/>
      <c r="B11" s="6" t="s">
        <v>18</v>
      </c>
      <c r="C11" s="6" t="s">
        <v>3</v>
      </c>
      <c r="D11" s="6" t="s">
        <v>11</v>
      </c>
      <c r="E11" s="6" t="s">
        <v>12</v>
      </c>
      <c r="F11" s="7" t="s">
        <v>18</v>
      </c>
      <c r="G11" s="7" t="s">
        <v>3</v>
      </c>
      <c r="H11" s="7" t="s">
        <v>11</v>
      </c>
      <c r="I11" s="7" t="s">
        <v>12</v>
      </c>
      <c r="J11" s="7" t="s">
        <v>18</v>
      </c>
      <c r="K11" s="7" t="s">
        <v>3</v>
      </c>
      <c r="L11" s="7" t="s">
        <v>11</v>
      </c>
      <c r="M11" s="7" t="s">
        <v>12</v>
      </c>
    </row>
    <row r="12" spans="1:21">
      <c r="A12" s="16" t="s">
        <v>10</v>
      </c>
      <c r="B12" s="17">
        <v>0</v>
      </c>
      <c r="C12" s="17">
        <v>3</v>
      </c>
      <c r="D12" s="17">
        <v>5</v>
      </c>
      <c r="E12" s="17">
        <v>5</v>
      </c>
      <c r="F12" s="8">
        <f>IF($H$3+B12&gt;$H$4,$H$4,$H$3+B12)</f>
        <v>28</v>
      </c>
      <c r="G12" s="8">
        <f t="shared" ref="G12:I13" si="0">IF($H$3+C12&gt;$H$4,$H$4,$H$3+C12)</f>
        <v>31</v>
      </c>
      <c r="H12" s="8">
        <f t="shared" si="0"/>
        <v>33</v>
      </c>
      <c r="I12" s="8">
        <f t="shared" si="0"/>
        <v>33</v>
      </c>
      <c r="J12" s="30">
        <f xml:space="preserve"> DATE(YEAR($I$1) - F12,MONTH($I$1),DAY($I$1)+1)</f>
        <v>35887</v>
      </c>
      <c r="K12" s="30">
        <f t="shared" ref="K12:M13" si="1" xml:space="preserve"> DATE(YEAR($I$1) - G12,MONTH($I$1),DAY($I$1)+1)</f>
        <v>34791</v>
      </c>
      <c r="L12" s="30">
        <f t="shared" si="1"/>
        <v>34061</v>
      </c>
      <c r="M12" s="30">
        <f t="shared" si="1"/>
        <v>34061</v>
      </c>
    </row>
    <row r="13" spans="1:21">
      <c r="A13" s="16" t="s">
        <v>13</v>
      </c>
      <c r="B13" s="33">
        <v>10</v>
      </c>
      <c r="C13" s="33">
        <v>13</v>
      </c>
      <c r="D13" s="33">
        <v>15</v>
      </c>
      <c r="E13" s="33">
        <v>15</v>
      </c>
      <c r="F13" s="33">
        <f t="shared" ref="F13" si="2">IF($H$3+B13&gt;$H$4,$H$4,$H$3+B13)</f>
        <v>38</v>
      </c>
      <c r="G13" s="33">
        <f t="shared" si="0"/>
        <v>41</v>
      </c>
      <c r="H13" s="33">
        <f t="shared" si="0"/>
        <v>43</v>
      </c>
      <c r="I13" s="33">
        <f t="shared" si="0"/>
        <v>43</v>
      </c>
      <c r="J13" s="34">
        <f t="shared" ref="J13" si="3" xml:space="preserve"> DATE(YEAR($I$1) - F13,MONTH($I$1),DAY($I$1)+1)</f>
        <v>32235</v>
      </c>
      <c r="K13" s="34">
        <f t="shared" si="1"/>
        <v>31139</v>
      </c>
      <c r="L13" s="34">
        <f t="shared" si="1"/>
        <v>30408</v>
      </c>
      <c r="M13" s="34">
        <f t="shared" si="1"/>
        <v>30408</v>
      </c>
    </row>
    <row r="14" spans="1:21">
      <c r="A14" s="1" t="s">
        <v>17</v>
      </c>
    </row>
    <row r="15" spans="1:21" s="1" customFormat="1">
      <c r="J15" s="10"/>
      <c r="K15" s="10"/>
      <c r="L15" s="10"/>
      <c r="M15" s="10"/>
    </row>
    <row r="17" spans="1:21" s="1" customFormat="1">
      <c r="A17" s="35" t="s">
        <v>19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13"/>
      <c r="O17" s="13"/>
      <c r="P17" s="13"/>
      <c r="Q17" s="13"/>
      <c r="R17" s="13"/>
      <c r="S17" s="13"/>
      <c r="T17" s="13"/>
      <c r="U17" s="14"/>
    </row>
    <row r="18" spans="1:21" s="1" customFormat="1">
      <c r="A18" s="53" t="s">
        <v>14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13"/>
      <c r="O18" s="13"/>
      <c r="P18" s="13"/>
      <c r="Q18" s="13"/>
      <c r="R18" s="13"/>
      <c r="S18" s="13"/>
      <c r="T18" s="13"/>
      <c r="U18" s="14"/>
    </row>
    <row r="19" spans="1:21" s="1" customFormat="1">
      <c r="A19" s="54" t="s">
        <v>23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6"/>
      <c r="N19" s="15"/>
      <c r="O19" s="15"/>
      <c r="P19" s="15"/>
      <c r="Q19" s="15"/>
      <c r="R19" s="15"/>
      <c r="S19" s="15"/>
      <c r="T19" s="15"/>
      <c r="U19" s="14"/>
    </row>
    <row r="20" spans="1:21" s="1" customFormat="1">
      <c r="A20" s="25"/>
      <c r="B20" s="26"/>
      <c r="C20" s="26"/>
      <c r="D20" s="26"/>
      <c r="E20" s="26"/>
      <c r="F20" s="26"/>
      <c r="G20" s="26"/>
      <c r="H20" s="26"/>
      <c r="I20" s="26"/>
      <c r="J20" s="27"/>
      <c r="K20" s="27"/>
      <c r="L20" s="27"/>
      <c r="M20" s="28"/>
    </row>
    <row r="21" spans="1:21" s="1" customFormat="1">
      <c r="A21" s="40" t="s">
        <v>6</v>
      </c>
      <c r="B21" s="44" t="s">
        <v>7</v>
      </c>
      <c r="C21" s="44"/>
      <c r="D21" s="44"/>
      <c r="E21" s="44"/>
      <c r="F21" s="45" t="s">
        <v>8</v>
      </c>
      <c r="G21" s="45"/>
      <c r="H21" s="45"/>
      <c r="I21" s="45"/>
      <c r="J21" s="45" t="s">
        <v>9</v>
      </c>
      <c r="K21" s="45"/>
      <c r="L21" s="45"/>
      <c r="M21" s="45"/>
    </row>
    <row r="22" spans="1:21" s="1" customFormat="1">
      <c r="A22" s="41"/>
      <c r="B22" s="6" t="s">
        <v>18</v>
      </c>
      <c r="C22" s="6" t="s">
        <v>3</v>
      </c>
      <c r="D22" s="6" t="s">
        <v>11</v>
      </c>
      <c r="E22" s="6" t="s">
        <v>12</v>
      </c>
      <c r="F22" s="7" t="s">
        <v>18</v>
      </c>
      <c r="G22" s="7" t="s">
        <v>3</v>
      </c>
      <c r="H22" s="7" t="s">
        <v>11</v>
      </c>
      <c r="I22" s="7" t="s">
        <v>12</v>
      </c>
      <c r="J22" s="7" t="s">
        <v>18</v>
      </c>
      <c r="K22" s="7" t="s">
        <v>3</v>
      </c>
      <c r="L22" s="7" t="s">
        <v>11</v>
      </c>
      <c r="M22" s="7" t="s">
        <v>12</v>
      </c>
    </row>
    <row r="23" spans="1:21" s="1" customFormat="1">
      <c r="A23" s="16" t="s">
        <v>10</v>
      </c>
      <c r="B23" s="17">
        <v>0</v>
      </c>
      <c r="C23" s="17">
        <v>3</v>
      </c>
      <c r="D23" s="17">
        <v>5</v>
      </c>
      <c r="E23" s="17">
        <v>0</v>
      </c>
      <c r="F23" s="8">
        <f>IF($H$3+B23&gt;$H$4,$H$4,$H$3+B23)</f>
        <v>28</v>
      </c>
      <c r="G23" s="8">
        <f t="shared" ref="G23" si="4">IF($H$3+C23&gt;$H$4,$H$4,$H$3+C23)</f>
        <v>31</v>
      </c>
      <c r="H23" s="8">
        <f t="shared" ref="H23" si="5">IF($H$3+D23&gt;$H$4,$H$4,$H$3+D23)</f>
        <v>33</v>
      </c>
      <c r="I23" s="8">
        <f t="shared" ref="I23" si="6">IF($H$3+E23&gt;$H$4,$H$4,$H$3+E23)</f>
        <v>28</v>
      </c>
      <c r="J23" s="30">
        <f xml:space="preserve"> DATE(YEAR($I$1) - F23,MONTH($I$1),DAY($I$1)+1)</f>
        <v>35887</v>
      </c>
      <c r="K23" s="30">
        <f t="shared" ref="K23:K24" si="7" xml:space="preserve"> DATE(YEAR($I$1) - G23,MONTH($I$1),DAY($I$1)+1)</f>
        <v>34791</v>
      </c>
      <c r="L23" s="30">
        <f t="shared" ref="L23:L24" si="8" xml:space="preserve"> DATE(YEAR($I$1) - H23,MONTH($I$1),DAY($I$1)+1)</f>
        <v>34061</v>
      </c>
      <c r="M23" s="30">
        <f t="shared" ref="M23:M24" si="9" xml:space="preserve"> DATE(YEAR($I$1) - I23,MONTH($I$1),DAY($I$1)+1)</f>
        <v>35887</v>
      </c>
    </row>
    <row r="24" spans="1:21" s="1" customFormat="1">
      <c r="A24" s="16" t="s">
        <v>13</v>
      </c>
      <c r="B24" s="33">
        <v>10</v>
      </c>
      <c r="C24" s="33">
        <v>13</v>
      </c>
      <c r="D24" s="33">
        <v>15</v>
      </c>
      <c r="E24" s="33">
        <v>10</v>
      </c>
      <c r="F24" s="33">
        <f t="shared" ref="F24" si="10">IF($H$3+B24&gt;$H$4,$H$4,$H$3+B24)</f>
        <v>38</v>
      </c>
      <c r="G24" s="33">
        <f t="shared" ref="G24" si="11">IF($H$3+C24&gt;$H$4,$H$4,$H$3+C24)</f>
        <v>41</v>
      </c>
      <c r="H24" s="33">
        <f t="shared" ref="H24" si="12">IF($H$3+D24&gt;$H$4,$H$4,$H$3+D24)</f>
        <v>43</v>
      </c>
      <c r="I24" s="33">
        <f t="shared" ref="I24" si="13">IF($H$3+E24&gt;$H$4,$H$4,$H$3+E24)</f>
        <v>38</v>
      </c>
      <c r="J24" s="34">
        <f t="shared" ref="J24" si="14" xml:space="preserve"> DATE(YEAR($I$1) - F24,MONTH($I$1),DAY($I$1)+1)</f>
        <v>32235</v>
      </c>
      <c r="K24" s="34">
        <f t="shared" si="7"/>
        <v>31139</v>
      </c>
      <c r="L24" s="34">
        <f t="shared" si="8"/>
        <v>30408</v>
      </c>
      <c r="M24" s="34">
        <f t="shared" si="9"/>
        <v>32235</v>
      </c>
    </row>
    <row r="25" spans="1:21" s="1" customFormat="1">
      <c r="J25" s="10"/>
      <c r="K25" s="10"/>
      <c r="L25" s="10"/>
      <c r="M25" s="10"/>
    </row>
    <row r="26" spans="1:21" s="1" customFormat="1">
      <c r="J26" s="10"/>
      <c r="K26" s="10"/>
      <c r="L26" s="10"/>
      <c r="M26" s="10"/>
    </row>
    <row r="28" spans="1:21" s="1" customFormat="1">
      <c r="A28" s="35" t="s">
        <v>20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21" s="1" customFormat="1">
      <c r="A29" s="36" t="s">
        <v>14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</row>
    <row r="30" spans="1:21" s="1" customFormat="1">
      <c r="A30" s="46" t="s">
        <v>24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spans="1:21" s="14" customFormat="1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4"/>
    </row>
    <row r="32" spans="1:21" s="1" customFormat="1">
      <c r="A32" s="40" t="s">
        <v>6</v>
      </c>
      <c r="B32" s="44" t="s">
        <v>7</v>
      </c>
      <c r="C32" s="44"/>
      <c r="D32" s="44"/>
      <c r="E32" s="44"/>
      <c r="F32" s="45" t="s">
        <v>8</v>
      </c>
      <c r="G32" s="45"/>
      <c r="H32" s="45"/>
      <c r="I32" s="45"/>
      <c r="J32" s="45" t="s">
        <v>9</v>
      </c>
      <c r="K32" s="45"/>
      <c r="L32" s="45"/>
      <c r="M32" s="45"/>
    </row>
    <row r="33" spans="1:13" s="1" customFormat="1">
      <c r="A33" s="41"/>
      <c r="B33" s="6" t="s">
        <v>18</v>
      </c>
      <c r="C33" s="6" t="s">
        <v>3</v>
      </c>
      <c r="D33" s="6" t="s">
        <v>11</v>
      </c>
      <c r="E33" s="6" t="s">
        <v>12</v>
      </c>
      <c r="F33" s="7" t="s">
        <v>18</v>
      </c>
      <c r="G33" s="7" t="s">
        <v>3</v>
      </c>
      <c r="H33" s="7" t="s">
        <v>11</v>
      </c>
      <c r="I33" s="7" t="s">
        <v>12</v>
      </c>
      <c r="J33" s="7" t="s">
        <v>18</v>
      </c>
      <c r="K33" s="7" t="s">
        <v>3</v>
      </c>
      <c r="L33" s="7" t="s">
        <v>11</v>
      </c>
      <c r="M33" s="7" t="s">
        <v>12</v>
      </c>
    </row>
    <row r="34" spans="1:13" s="1" customFormat="1">
      <c r="A34" s="16" t="s">
        <v>10</v>
      </c>
      <c r="B34" s="17">
        <v>0</v>
      </c>
      <c r="C34" s="17">
        <v>0</v>
      </c>
      <c r="D34" s="17">
        <v>0</v>
      </c>
      <c r="E34" s="17">
        <v>5</v>
      </c>
      <c r="F34" s="18">
        <f>IF($H$3+B34&gt;$H$4,$H$4,$H$3+B34)</f>
        <v>28</v>
      </c>
      <c r="G34" s="18">
        <f t="shared" ref="G34" si="15">IF($H$3+C34&gt;$H$4,$H$4,$H$3+C34)</f>
        <v>28</v>
      </c>
      <c r="H34" s="18">
        <f t="shared" ref="H34" si="16">IF($H$3+D34&gt;$H$4,$H$4,$H$3+D34)</f>
        <v>28</v>
      </c>
      <c r="I34" s="18">
        <f t="shared" ref="I34" si="17">IF($H$3+E34&gt;$H$4,$H$4,$H$3+E34)</f>
        <v>33</v>
      </c>
      <c r="J34" s="30">
        <f xml:space="preserve"> DATE(YEAR($I$1) - F34,MONTH($I$1),DAY($I$1)+1)</f>
        <v>35887</v>
      </c>
      <c r="K34" s="30">
        <f t="shared" ref="K34:K35" si="18" xml:space="preserve"> DATE(YEAR($I$1) - G34,MONTH($I$1),DAY($I$1)+1)</f>
        <v>35887</v>
      </c>
      <c r="L34" s="30">
        <f t="shared" ref="L34:L35" si="19" xml:space="preserve"> DATE(YEAR($I$1) - H34,MONTH($I$1),DAY($I$1)+1)</f>
        <v>35887</v>
      </c>
      <c r="M34" s="30">
        <f t="shared" ref="M34:M35" si="20" xml:space="preserve"> DATE(YEAR($I$1) - I34,MONTH($I$1),DAY($I$1)+1)</f>
        <v>34061</v>
      </c>
    </row>
    <row r="35" spans="1:13" s="1" customFormat="1">
      <c r="A35" s="16" t="s">
        <v>13</v>
      </c>
      <c r="B35" s="33">
        <v>10</v>
      </c>
      <c r="C35" s="33">
        <v>10</v>
      </c>
      <c r="D35" s="33">
        <v>10</v>
      </c>
      <c r="E35" s="33">
        <v>15</v>
      </c>
      <c r="F35" s="33">
        <f t="shared" ref="F35" si="21">IF($H$3+B35&gt;$H$4,$H$4,$H$3+B35)</f>
        <v>38</v>
      </c>
      <c r="G35" s="33">
        <f t="shared" ref="G35" si="22">IF($H$3+C35&gt;$H$4,$H$4,$H$3+C35)</f>
        <v>38</v>
      </c>
      <c r="H35" s="33">
        <f t="shared" ref="H35" si="23">IF($H$3+D35&gt;$H$4,$H$4,$H$3+D35)</f>
        <v>38</v>
      </c>
      <c r="I35" s="33">
        <f t="shared" ref="I35" si="24">IF($H$3+E35&gt;$H$4,$H$4,$H$3+E35)</f>
        <v>43</v>
      </c>
      <c r="J35" s="34">
        <f t="shared" ref="J35" si="25" xml:space="preserve"> DATE(YEAR($I$1) - F35,MONTH($I$1),DAY($I$1)+1)</f>
        <v>32235</v>
      </c>
      <c r="K35" s="34">
        <f t="shared" si="18"/>
        <v>32235</v>
      </c>
      <c r="L35" s="34">
        <f t="shared" si="19"/>
        <v>32235</v>
      </c>
      <c r="M35" s="34">
        <f t="shared" si="20"/>
        <v>30408</v>
      </c>
    </row>
    <row r="36" spans="1:13" s="1" customFormat="1">
      <c r="J36" s="10"/>
      <c r="K36" s="10"/>
      <c r="L36" s="10"/>
      <c r="M36" s="10"/>
    </row>
    <row r="38" spans="1:13">
      <c r="A38" s="35" t="s">
        <v>21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1:13">
      <c r="A39" s="36" t="s">
        <v>14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 spans="1:13">
      <c r="A40" s="37" t="s">
        <v>25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9"/>
    </row>
    <row r="41" spans="1:13" s="1" customForma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4"/>
    </row>
    <row r="42" spans="1:13">
      <c r="A42" s="40" t="s">
        <v>6</v>
      </c>
      <c r="B42" s="42" t="s">
        <v>7</v>
      </c>
      <c r="C42" s="42"/>
      <c r="D42" s="42"/>
      <c r="E42" s="42"/>
      <c r="F42" s="43" t="s">
        <v>8</v>
      </c>
      <c r="G42" s="43"/>
      <c r="H42" s="43"/>
      <c r="I42" s="43"/>
      <c r="J42" s="43" t="s">
        <v>9</v>
      </c>
      <c r="K42" s="43"/>
      <c r="L42" s="43"/>
      <c r="M42" s="43"/>
    </row>
    <row r="43" spans="1:13">
      <c r="A43" s="41"/>
      <c r="B43" s="6" t="s">
        <v>18</v>
      </c>
      <c r="C43" s="6" t="s">
        <v>3</v>
      </c>
      <c r="D43" s="6" t="s">
        <v>11</v>
      </c>
      <c r="E43" s="6" t="s">
        <v>12</v>
      </c>
      <c r="F43" s="7" t="s">
        <v>18</v>
      </c>
      <c r="G43" s="7" t="s">
        <v>3</v>
      </c>
      <c r="H43" s="7" t="s">
        <v>11</v>
      </c>
      <c r="I43" s="7" t="s">
        <v>12</v>
      </c>
      <c r="J43" s="7" t="s">
        <v>18</v>
      </c>
      <c r="K43" s="7" t="s">
        <v>3</v>
      </c>
      <c r="L43" s="7" t="s">
        <v>11</v>
      </c>
      <c r="M43" s="7" t="s">
        <v>12</v>
      </c>
    </row>
    <row r="44" spans="1:13">
      <c r="A44" s="16" t="s">
        <v>10</v>
      </c>
      <c r="B44" s="17">
        <v>0</v>
      </c>
      <c r="C44" s="17">
        <v>3</v>
      </c>
      <c r="D44" s="17">
        <v>0</v>
      </c>
      <c r="E44" s="17">
        <v>5</v>
      </c>
      <c r="F44" s="18">
        <f>IF($H$3+B44&gt;$H$4,$H$4,$H$3+B44)</f>
        <v>28</v>
      </c>
      <c r="G44" s="18">
        <f t="shared" ref="G44" si="26">IF($H$3+C44&gt;$H$4,$H$4,$H$3+C44)</f>
        <v>31</v>
      </c>
      <c r="H44" s="18">
        <f t="shared" ref="H44" si="27">IF($H$3+D44&gt;$H$4,$H$4,$H$3+D44)</f>
        <v>28</v>
      </c>
      <c r="I44" s="18">
        <f t="shared" ref="I44" si="28">IF($H$3+E44&gt;$H$4,$H$4,$H$3+E44)</f>
        <v>33</v>
      </c>
      <c r="J44" s="30">
        <f xml:space="preserve"> DATE(YEAR($I$1) - F44,MONTH($I$1),DAY($I$1)+1)</f>
        <v>35887</v>
      </c>
      <c r="K44" s="30">
        <f t="shared" ref="K44:K45" si="29" xml:space="preserve"> DATE(YEAR($I$1) - G44,MONTH($I$1),DAY($I$1)+1)</f>
        <v>34791</v>
      </c>
      <c r="L44" s="30">
        <f t="shared" ref="L44:L45" si="30" xml:space="preserve"> DATE(YEAR($I$1) - H44,MONTH($I$1),DAY($I$1)+1)</f>
        <v>35887</v>
      </c>
      <c r="M44" s="30">
        <f t="shared" ref="M44:M45" si="31" xml:space="preserve"> DATE(YEAR($I$1) - I44,MONTH($I$1),DAY($I$1)+1)</f>
        <v>34061</v>
      </c>
    </row>
    <row r="45" spans="1:13">
      <c r="A45" s="16" t="s">
        <v>13</v>
      </c>
      <c r="B45" s="33">
        <v>10</v>
      </c>
      <c r="C45" s="33">
        <v>13</v>
      </c>
      <c r="D45" s="33">
        <v>10</v>
      </c>
      <c r="E45" s="33">
        <v>15</v>
      </c>
      <c r="F45" s="33">
        <f t="shared" ref="F45" si="32">IF($H$3+B45&gt;$H$4,$H$4,$H$3+B45)</f>
        <v>38</v>
      </c>
      <c r="G45" s="33">
        <f t="shared" ref="G45" si="33">IF($H$3+C45&gt;$H$4,$H$4,$H$3+C45)</f>
        <v>41</v>
      </c>
      <c r="H45" s="33">
        <f t="shared" ref="H45" si="34">IF($H$3+D45&gt;$H$4,$H$4,$H$3+D45)</f>
        <v>38</v>
      </c>
      <c r="I45" s="33">
        <f t="shared" ref="I45" si="35">IF($H$3+E45&gt;$H$4,$H$4,$H$3+E45)</f>
        <v>43</v>
      </c>
      <c r="J45" s="34">
        <f t="shared" ref="J45" si="36" xml:space="preserve"> DATE(YEAR($I$1) - F45,MONTH($I$1),DAY($I$1)+1)</f>
        <v>32235</v>
      </c>
      <c r="K45" s="34">
        <f t="shared" si="29"/>
        <v>31139</v>
      </c>
      <c r="L45" s="34">
        <f t="shared" si="30"/>
        <v>32235</v>
      </c>
      <c r="M45" s="34">
        <f t="shared" si="31"/>
        <v>30408</v>
      </c>
    </row>
    <row r="46" spans="1:13" s="1" customFormat="1">
      <c r="A46" s="10"/>
      <c r="F46" s="10"/>
      <c r="G46" s="10"/>
      <c r="H46" s="10"/>
      <c r="I46" s="10"/>
      <c r="J46" s="10"/>
      <c r="K46" s="10"/>
      <c r="L46" s="10"/>
      <c r="M46" s="10"/>
    </row>
    <row r="47" spans="1:13">
      <c r="A47" s="10"/>
      <c r="F47" s="10"/>
      <c r="G47" s="10"/>
      <c r="H47" s="10"/>
      <c r="I47" s="10"/>
    </row>
  </sheetData>
  <mergeCells count="32">
    <mergeCell ref="A17:M17"/>
    <mergeCell ref="A18:M18"/>
    <mergeCell ref="A19:M19"/>
    <mergeCell ref="A21:A22"/>
    <mergeCell ref="B21:E21"/>
    <mergeCell ref="F21:I21"/>
    <mergeCell ref="J21:M21"/>
    <mergeCell ref="F1:G1"/>
    <mergeCell ref="F2:G2"/>
    <mergeCell ref="F3:G3"/>
    <mergeCell ref="F4:G4"/>
    <mergeCell ref="A10:A11"/>
    <mergeCell ref="B10:E10"/>
    <mergeCell ref="F10:I10"/>
    <mergeCell ref="A6:M6"/>
    <mergeCell ref="A7:M7"/>
    <mergeCell ref="A8:M8"/>
    <mergeCell ref="J10:M10"/>
    <mergeCell ref="A32:A33"/>
    <mergeCell ref="B32:E32"/>
    <mergeCell ref="F32:I32"/>
    <mergeCell ref="J32:M32"/>
    <mergeCell ref="A28:M28"/>
    <mergeCell ref="A29:M29"/>
    <mergeCell ref="A30:M30"/>
    <mergeCell ref="A38:M38"/>
    <mergeCell ref="A39:M39"/>
    <mergeCell ref="A40:M40"/>
    <mergeCell ref="A42:A43"/>
    <mergeCell ref="B42:E42"/>
    <mergeCell ref="F42:I42"/>
    <mergeCell ref="J42:M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Apprentices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Abhay.K</dc:creator>
  <cp:lastModifiedBy>Swati Parab</cp:lastModifiedBy>
  <cp:lastPrinted>2012-03-28T05:39:00Z</cp:lastPrinted>
  <dcterms:created xsi:type="dcterms:W3CDTF">2012-03-22T06:18:28Z</dcterms:created>
  <dcterms:modified xsi:type="dcterms:W3CDTF">2026-05-12T10:20:04Z</dcterms:modified>
</cp:coreProperties>
</file>